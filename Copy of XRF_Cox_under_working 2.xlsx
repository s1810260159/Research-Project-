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GMN5\Documents\"/>
    </mc:Choice>
  </mc:AlternateContent>
  <xr:revisionPtr revIDLastSave="0" documentId="13_ncr:1000001_{A3F7FA84-86A2-E94A-921C-72EE6A9643AB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XRF Cox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6" l="1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3" i="6"/>
  <c r="L4" i="6"/>
  <c r="L5" i="6"/>
  <c r="L6" i="6"/>
  <c r="L7" i="6"/>
  <c r="L8" i="6"/>
  <c r="L9" i="6"/>
  <c r="L10" i="6"/>
  <c r="K11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3" i="6"/>
  <c r="AT26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W27" i="6"/>
  <c r="U4" i="6"/>
  <c r="B28" i="6"/>
  <c r="J28" i="6"/>
  <c r="I28" i="6"/>
  <c r="H28" i="6"/>
  <c r="G28" i="6"/>
  <c r="F28" i="6"/>
  <c r="E28" i="6"/>
  <c r="D28" i="6"/>
  <c r="C28" i="6"/>
  <c r="AZ26" i="6"/>
  <c r="AZ25" i="6"/>
  <c r="AZ24" i="6"/>
  <c r="AZ23" i="6"/>
  <c r="AZ22" i="6"/>
  <c r="AZ21" i="6"/>
  <c r="AZ20" i="6"/>
  <c r="AZ19" i="6"/>
  <c r="AZ18" i="6"/>
  <c r="AZ17" i="6"/>
  <c r="AZ16" i="6"/>
  <c r="AZ15" i="6"/>
  <c r="AZ14" i="6"/>
  <c r="AZ13" i="6"/>
  <c r="AZ12" i="6"/>
  <c r="AZ10" i="6"/>
  <c r="AZ9" i="6"/>
  <c r="AZ8" i="6"/>
  <c r="AZ7" i="6"/>
  <c r="AZ6" i="6"/>
  <c r="AZ5" i="6"/>
  <c r="AZ4" i="6"/>
  <c r="AZ3" i="6"/>
  <c r="BA4" i="6"/>
  <c r="BA5" i="6"/>
  <c r="BA6" i="6"/>
  <c r="BA7" i="6"/>
  <c r="BA8" i="6"/>
  <c r="BA9" i="6"/>
  <c r="BA10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3" i="6"/>
  <c r="AX4" i="6"/>
  <c r="AX5" i="6"/>
  <c r="AX6" i="6"/>
  <c r="AX7" i="6"/>
  <c r="AX8" i="6"/>
  <c r="AX9" i="6"/>
  <c r="AX10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3" i="6"/>
  <c r="AW4" i="6"/>
  <c r="AW5" i="6"/>
  <c r="AW6" i="6"/>
  <c r="AW7" i="6"/>
  <c r="AW8" i="6"/>
  <c r="AW9" i="6"/>
  <c r="AW10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3" i="6"/>
  <c r="AK4" i="6"/>
  <c r="AO4" i="6"/>
  <c r="AK5" i="6"/>
  <c r="AO5" i="6"/>
  <c r="AK6" i="6"/>
  <c r="AO6" i="6"/>
  <c r="AK7" i="6"/>
  <c r="AO7" i="6"/>
  <c r="AK8" i="6"/>
  <c r="AO8" i="6"/>
  <c r="AK9" i="6"/>
  <c r="AO9" i="6"/>
  <c r="AK10" i="6"/>
  <c r="AO10" i="6"/>
  <c r="AK11" i="6"/>
  <c r="AO11" i="6"/>
  <c r="AK12" i="6"/>
  <c r="AO12" i="6"/>
  <c r="AK13" i="6"/>
  <c r="AO13" i="6"/>
  <c r="AK14" i="6"/>
  <c r="AO14" i="6"/>
  <c r="AK15" i="6"/>
  <c r="AO15" i="6"/>
  <c r="AK16" i="6"/>
  <c r="AO16" i="6"/>
  <c r="AK17" i="6"/>
  <c r="AO17" i="6"/>
  <c r="AK18" i="6"/>
  <c r="AO18" i="6"/>
  <c r="AK19" i="6"/>
  <c r="AO19" i="6"/>
  <c r="AK20" i="6"/>
  <c r="AO20" i="6"/>
  <c r="AK21" i="6"/>
  <c r="AO21" i="6"/>
  <c r="AK22" i="6"/>
  <c r="AO22" i="6"/>
  <c r="AK23" i="6"/>
  <c r="AO23" i="6"/>
  <c r="AK24" i="6"/>
  <c r="AO24" i="6"/>
  <c r="AK25" i="6"/>
  <c r="AO25" i="6"/>
  <c r="AK26" i="6"/>
  <c r="AO26" i="6"/>
  <c r="AK3" i="6"/>
  <c r="AO3" i="6"/>
  <c r="AJ4" i="6"/>
  <c r="AN4" i="6"/>
  <c r="AJ5" i="6"/>
  <c r="AN5" i="6"/>
  <c r="AJ6" i="6"/>
  <c r="AN6" i="6"/>
  <c r="AJ7" i="6"/>
  <c r="AN7" i="6"/>
  <c r="AJ8" i="6"/>
  <c r="AN8" i="6"/>
  <c r="AJ9" i="6"/>
  <c r="AN9" i="6"/>
  <c r="AJ10" i="6"/>
  <c r="AN10" i="6"/>
  <c r="AJ11" i="6"/>
  <c r="AN11" i="6"/>
  <c r="AJ12" i="6"/>
  <c r="AN12" i="6"/>
  <c r="AJ13" i="6"/>
  <c r="AN13" i="6"/>
  <c r="AJ14" i="6"/>
  <c r="AN14" i="6"/>
  <c r="AJ15" i="6"/>
  <c r="AN15" i="6"/>
  <c r="AJ16" i="6"/>
  <c r="AN16" i="6"/>
  <c r="AJ17" i="6"/>
  <c r="AN17" i="6"/>
  <c r="AJ18" i="6"/>
  <c r="AN18" i="6"/>
  <c r="AJ19" i="6"/>
  <c r="AN19" i="6"/>
  <c r="AJ20" i="6"/>
  <c r="AN20" i="6"/>
  <c r="AJ21" i="6"/>
  <c r="AN21" i="6"/>
  <c r="AJ22" i="6"/>
  <c r="AN22" i="6"/>
  <c r="AJ23" i="6"/>
  <c r="AN23" i="6"/>
  <c r="AJ24" i="6"/>
  <c r="AN24" i="6"/>
  <c r="AJ25" i="6"/>
  <c r="AN25" i="6"/>
  <c r="AJ26" i="6"/>
  <c r="AN26" i="6"/>
  <c r="AJ3" i="6"/>
  <c r="AN3" i="6"/>
  <c r="AI3" i="6"/>
  <c r="AM3" i="6"/>
  <c r="AI4" i="6"/>
  <c r="AM4" i="6"/>
  <c r="AI5" i="6"/>
  <c r="AM5" i="6"/>
  <c r="AI6" i="6"/>
  <c r="AM6" i="6"/>
  <c r="AI7" i="6"/>
  <c r="AM7" i="6"/>
  <c r="AI8" i="6"/>
  <c r="AM8" i="6"/>
  <c r="AI9" i="6"/>
  <c r="AM9" i="6"/>
  <c r="AI10" i="6"/>
  <c r="AM10" i="6"/>
  <c r="AI11" i="6"/>
  <c r="AM11" i="6"/>
  <c r="AI12" i="6"/>
  <c r="AM12" i="6"/>
  <c r="AI13" i="6"/>
  <c r="AM13" i="6"/>
  <c r="AI14" i="6"/>
  <c r="AM14" i="6"/>
  <c r="AI15" i="6"/>
  <c r="AM15" i="6"/>
  <c r="AI16" i="6"/>
  <c r="AM16" i="6"/>
  <c r="AI17" i="6"/>
  <c r="AM17" i="6"/>
  <c r="AI18" i="6"/>
  <c r="AM18" i="6"/>
  <c r="AI19" i="6"/>
  <c r="AM19" i="6"/>
  <c r="AI20" i="6"/>
  <c r="AM20" i="6"/>
  <c r="AI21" i="6"/>
  <c r="AM21" i="6"/>
  <c r="AI22" i="6"/>
  <c r="AM22" i="6"/>
  <c r="AI23" i="6"/>
  <c r="AM23" i="6"/>
  <c r="AI24" i="6"/>
  <c r="AM24" i="6"/>
  <c r="AI25" i="6"/>
  <c r="AM25" i="6"/>
  <c r="AI26" i="6"/>
  <c r="AM26" i="6"/>
  <c r="AE97" i="6"/>
  <c r="AF97" i="6"/>
  <c r="AG97" i="6"/>
  <c r="AH97" i="6"/>
  <c r="AI97" i="6"/>
  <c r="AJ97" i="6"/>
  <c r="AK97" i="6"/>
  <c r="AT97" i="6"/>
  <c r="AW97" i="6"/>
  <c r="AX97" i="6"/>
  <c r="AE98" i="6"/>
  <c r="AF98" i="6"/>
  <c r="AG98" i="6"/>
  <c r="AH98" i="6"/>
  <c r="AI98" i="6"/>
  <c r="AJ98" i="6"/>
  <c r="AK98" i="6"/>
  <c r="AT98" i="6"/>
  <c r="AW98" i="6"/>
  <c r="AX98" i="6"/>
  <c r="AE99" i="6"/>
  <c r="AF99" i="6"/>
  <c r="AG99" i="6"/>
  <c r="AH99" i="6"/>
  <c r="AI99" i="6"/>
  <c r="AJ99" i="6"/>
  <c r="AK99" i="6"/>
  <c r="AT99" i="6"/>
  <c r="AW99" i="6"/>
  <c r="AX99" i="6"/>
  <c r="AE100" i="6"/>
  <c r="AF100" i="6"/>
  <c r="AG100" i="6"/>
  <c r="AH100" i="6"/>
  <c r="AI100" i="6"/>
  <c r="AJ100" i="6"/>
  <c r="AK100" i="6"/>
  <c r="AT100" i="6"/>
  <c r="AW100" i="6"/>
  <c r="AX100" i="6"/>
  <c r="AE101" i="6"/>
  <c r="AF101" i="6"/>
  <c r="AG101" i="6"/>
  <c r="AH101" i="6"/>
  <c r="AI101" i="6"/>
  <c r="AJ101" i="6"/>
  <c r="AK101" i="6"/>
  <c r="AT101" i="6"/>
  <c r="AW101" i="6"/>
  <c r="AX101" i="6"/>
  <c r="AE102" i="6"/>
  <c r="AF102" i="6"/>
  <c r="AG102" i="6"/>
  <c r="AH102" i="6"/>
  <c r="AI102" i="6"/>
  <c r="AJ102" i="6"/>
  <c r="AK102" i="6"/>
  <c r="AT102" i="6"/>
  <c r="AW102" i="6"/>
  <c r="AX102" i="6"/>
  <c r="AE103" i="6"/>
  <c r="AF103" i="6"/>
  <c r="AG103" i="6"/>
  <c r="AH103" i="6"/>
  <c r="AI103" i="6"/>
  <c r="AJ103" i="6"/>
  <c r="AK103" i="6"/>
  <c r="AT103" i="6"/>
  <c r="AW103" i="6"/>
  <c r="AX103" i="6"/>
  <c r="AE104" i="6"/>
  <c r="AF104" i="6"/>
  <c r="AG104" i="6"/>
  <c r="AH104" i="6"/>
  <c r="AI104" i="6"/>
  <c r="AJ104" i="6"/>
  <c r="AK104" i="6"/>
  <c r="AT104" i="6"/>
  <c r="AW104" i="6"/>
  <c r="AX104" i="6"/>
  <c r="AE105" i="6"/>
  <c r="AF105" i="6"/>
  <c r="AG105" i="6"/>
  <c r="AH105" i="6"/>
  <c r="AI105" i="6"/>
  <c r="AJ105" i="6"/>
  <c r="AK105" i="6"/>
  <c r="AT105" i="6"/>
  <c r="AW105" i="6"/>
  <c r="AE106" i="6"/>
  <c r="AF106" i="6"/>
  <c r="AG106" i="6"/>
  <c r="AH106" i="6"/>
  <c r="AI106" i="6"/>
  <c r="AJ106" i="6"/>
  <c r="AK106" i="6"/>
  <c r="AT106" i="6"/>
  <c r="AW106" i="6"/>
  <c r="AX106" i="6"/>
  <c r="AE107" i="6"/>
  <c r="AF107" i="6"/>
  <c r="AG107" i="6"/>
  <c r="AH107" i="6"/>
  <c r="AI107" i="6"/>
  <c r="AJ107" i="6"/>
  <c r="AK107" i="6"/>
  <c r="AT107" i="6"/>
  <c r="AW107" i="6"/>
  <c r="AX107" i="6"/>
  <c r="AE108" i="6"/>
  <c r="AF108" i="6"/>
  <c r="AG108" i="6"/>
  <c r="AH108" i="6"/>
  <c r="AI108" i="6"/>
  <c r="AJ108" i="6"/>
  <c r="AK108" i="6"/>
  <c r="AT108" i="6"/>
  <c r="AW108" i="6"/>
  <c r="AX108" i="6"/>
  <c r="AE109" i="6"/>
  <c r="AF109" i="6"/>
  <c r="AG109" i="6"/>
  <c r="AH109" i="6"/>
  <c r="AI109" i="6"/>
  <c r="AJ109" i="6"/>
  <c r="AK109" i="6"/>
  <c r="AT109" i="6"/>
  <c r="AW109" i="6"/>
  <c r="AX109" i="6"/>
  <c r="AE110" i="6"/>
  <c r="AF110" i="6"/>
  <c r="AG110" i="6"/>
  <c r="AH110" i="6"/>
  <c r="AI110" i="6"/>
  <c r="AJ110" i="6"/>
  <c r="AK110" i="6"/>
  <c r="AT110" i="6"/>
  <c r="AW110" i="6"/>
  <c r="AX110" i="6"/>
  <c r="AE111" i="6"/>
  <c r="AF111" i="6"/>
  <c r="AG111" i="6"/>
  <c r="AH111" i="6"/>
  <c r="AI111" i="6"/>
  <c r="AJ111" i="6"/>
  <c r="AK111" i="6"/>
  <c r="AT111" i="6"/>
  <c r="AW111" i="6"/>
  <c r="AX111" i="6"/>
  <c r="AE112" i="6"/>
  <c r="AF112" i="6"/>
  <c r="AG112" i="6"/>
  <c r="AH112" i="6"/>
  <c r="AI112" i="6"/>
  <c r="AJ112" i="6"/>
  <c r="AK112" i="6"/>
  <c r="AT112" i="6"/>
  <c r="AW112" i="6"/>
  <c r="AX112" i="6"/>
  <c r="AE113" i="6"/>
  <c r="AF113" i="6"/>
  <c r="AG113" i="6"/>
  <c r="AH113" i="6"/>
  <c r="AI113" i="6"/>
  <c r="AJ113" i="6"/>
  <c r="AK113" i="6"/>
  <c r="AT113" i="6"/>
  <c r="AW113" i="6"/>
  <c r="AX113" i="6"/>
  <c r="AE114" i="6"/>
  <c r="AF114" i="6"/>
  <c r="AG114" i="6"/>
  <c r="AH114" i="6"/>
  <c r="AI114" i="6"/>
  <c r="AJ114" i="6"/>
  <c r="AK114" i="6"/>
  <c r="AT114" i="6"/>
  <c r="AW114" i="6"/>
  <c r="AX114" i="6"/>
  <c r="AE115" i="6"/>
  <c r="AF115" i="6"/>
  <c r="AG115" i="6"/>
  <c r="AH115" i="6"/>
  <c r="AI115" i="6"/>
  <c r="AJ115" i="6"/>
  <c r="AK115" i="6"/>
  <c r="AT115" i="6"/>
  <c r="AW115" i="6"/>
  <c r="AX115" i="6"/>
  <c r="AE116" i="6"/>
  <c r="AF116" i="6"/>
  <c r="AG116" i="6"/>
  <c r="AH116" i="6"/>
  <c r="AI116" i="6"/>
  <c r="AJ116" i="6"/>
  <c r="AK116" i="6"/>
  <c r="AT116" i="6"/>
  <c r="AW116" i="6"/>
  <c r="AX116" i="6"/>
  <c r="AE117" i="6"/>
  <c r="AF117" i="6"/>
  <c r="AG117" i="6"/>
  <c r="AH117" i="6"/>
  <c r="AI117" i="6"/>
  <c r="AJ117" i="6"/>
  <c r="AK117" i="6"/>
  <c r="AT117" i="6"/>
  <c r="AW117" i="6"/>
  <c r="AX117" i="6"/>
  <c r="AE118" i="6"/>
  <c r="AF118" i="6"/>
  <c r="AG118" i="6"/>
  <c r="AH118" i="6"/>
  <c r="AI118" i="6"/>
  <c r="AJ118" i="6"/>
  <c r="AK118" i="6"/>
  <c r="AT118" i="6"/>
  <c r="AW118" i="6"/>
  <c r="AX118" i="6"/>
  <c r="AE119" i="6"/>
  <c r="AF119" i="6"/>
  <c r="AG119" i="6"/>
  <c r="AH119" i="6"/>
  <c r="AI119" i="6"/>
  <c r="AJ119" i="6"/>
  <c r="AK119" i="6"/>
  <c r="AT119" i="6"/>
  <c r="AW119" i="6"/>
  <c r="AX119" i="6"/>
  <c r="AE120" i="6"/>
  <c r="AF120" i="6"/>
  <c r="AG120" i="6"/>
  <c r="AH120" i="6"/>
  <c r="AI120" i="6"/>
  <c r="AJ120" i="6"/>
  <c r="AK120" i="6"/>
  <c r="AT120" i="6"/>
  <c r="AW120" i="6"/>
  <c r="AX120" i="6"/>
  <c r="AG4" i="6"/>
  <c r="AG5" i="6"/>
  <c r="AG6" i="6"/>
  <c r="AG7" i="6"/>
  <c r="AG8" i="6"/>
  <c r="AG9" i="6"/>
  <c r="AG10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3" i="6"/>
  <c r="AF3" i="6"/>
  <c r="AF4" i="6"/>
  <c r="AF5" i="6"/>
  <c r="AF6" i="6"/>
  <c r="AF7" i="6"/>
  <c r="AF8" i="6"/>
  <c r="AF9" i="6"/>
  <c r="AF10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3" i="6"/>
  <c r="O4" i="6"/>
  <c r="O5" i="6"/>
  <c r="O6" i="6"/>
  <c r="O7" i="6"/>
  <c r="O8" i="6"/>
  <c r="O9" i="6"/>
  <c r="O10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3" i="6"/>
  <c r="AP5" i="6"/>
  <c r="AR5" i="6"/>
  <c r="AP12" i="6"/>
  <c r="AR12" i="6"/>
  <c r="AS12" i="6"/>
  <c r="AP18" i="6"/>
  <c r="AQ18" i="6"/>
  <c r="AP11" i="6"/>
  <c r="AR11" i="6"/>
  <c r="AP17" i="6"/>
  <c r="AQ17" i="6"/>
  <c r="AP9" i="6"/>
  <c r="AQ9" i="6"/>
  <c r="AP26" i="6"/>
  <c r="AR26" i="6"/>
  <c r="AS26" i="6"/>
  <c r="AS18" i="6"/>
  <c r="AP13" i="6"/>
  <c r="AS13" i="6"/>
  <c r="AP24" i="6"/>
  <c r="AQ24" i="6"/>
  <c r="AP25" i="6"/>
  <c r="AS25" i="6"/>
  <c r="AS17" i="6"/>
  <c r="AF11" i="6"/>
  <c r="AR24" i="6"/>
  <c r="AP22" i="6"/>
  <c r="AQ22" i="6"/>
  <c r="AP14" i="6"/>
  <c r="AQ14" i="6"/>
  <c r="AP23" i="6"/>
  <c r="AS23" i="6"/>
  <c r="AP21" i="6"/>
  <c r="AR21" i="6"/>
  <c r="AQ21" i="6"/>
  <c r="AS22" i="6"/>
  <c r="AS14" i="6"/>
  <c r="W5" i="6"/>
  <c r="W21" i="6"/>
  <c r="W13" i="6"/>
  <c r="W4" i="6"/>
  <c r="Y4" i="6"/>
  <c r="W20" i="6"/>
  <c r="Y20" i="6"/>
  <c r="W12" i="6"/>
  <c r="Y27" i="6"/>
  <c r="W11" i="6"/>
  <c r="W26" i="6"/>
  <c r="Y26" i="6"/>
  <c r="W18" i="6"/>
  <c r="Y18" i="6"/>
  <c r="W10" i="6"/>
  <c r="W25" i="6"/>
  <c r="Y25" i="6"/>
  <c r="W17" i="6"/>
  <c r="Y17" i="6"/>
  <c r="W9" i="6"/>
  <c r="Z27" i="6"/>
  <c r="X27" i="6"/>
  <c r="AA27" i="6"/>
  <c r="W24" i="6"/>
  <c r="Y24" i="6"/>
  <c r="W16" i="6"/>
  <c r="Y16" i="6"/>
  <c r="W8" i="6"/>
  <c r="W19" i="6"/>
  <c r="Y19" i="6"/>
  <c r="W15" i="6"/>
  <c r="Y15" i="6"/>
  <c r="W7" i="6"/>
  <c r="Y7" i="6"/>
  <c r="W23" i="6"/>
  <c r="Y23" i="6"/>
  <c r="W22" i="6"/>
  <c r="W14" i="6"/>
  <c r="W6" i="6"/>
  <c r="Y6" i="6"/>
  <c r="AP20" i="6"/>
  <c r="AR20" i="6"/>
  <c r="AP4" i="6"/>
  <c r="AS4" i="6"/>
  <c r="AQ12" i="6"/>
  <c r="AT11" i="6"/>
  <c r="AS24" i="6"/>
  <c r="AP16" i="6"/>
  <c r="AR16" i="6"/>
  <c r="AP8" i="6"/>
  <c r="AR8" i="6"/>
  <c r="AR23" i="6"/>
  <c r="AP15" i="6"/>
  <c r="AR15" i="6"/>
  <c r="AP7" i="6"/>
  <c r="AR7" i="6"/>
  <c r="AP10" i="6"/>
  <c r="AR10" i="6"/>
  <c r="AQ26" i="6"/>
  <c r="AT25" i="6"/>
  <c r="AR18" i="6"/>
  <c r="AR13" i="6"/>
  <c r="AR25" i="6"/>
  <c r="AR17" i="6"/>
  <c r="AS9" i="6"/>
  <c r="AP3" i="6"/>
  <c r="AS3" i="6"/>
  <c r="AP19" i="6"/>
  <c r="AQ19" i="6"/>
  <c r="AQ11" i="6"/>
  <c r="AS21" i="6"/>
  <c r="AQ5" i="6"/>
  <c r="AR22" i="6"/>
  <c r="AR14" i="6"/>
  <c r="AP6" i="6"/>
  <c r="AQ6" i="6"/>
  <c r="K28" i="6"/>
  <c r="BA11" i="6"/>
  <c r="AZ11" i="6"/>
  <c r="AW11" i="6"/>
  <c r="AX11" i="6"/>
  <c r="AX105" i="6"/>
  <c r="O11" i="6"/>
  <c r="AG11" i="6"/>
  <c r="AR6" i="6"/>
  <c r="AS6" i="6"/>
  <c r="AT5" i="6"/>
  <c r="AR19" i="6"/>
  <c r="AS19" i="6"/>
  <c r="AT18" i="6"/>
  <c r="AT13" i="6"/>
  <c r="AT21" i="6"/>
  <c r="AQ7" i="6"/>
  <c r="AS7" i="6"/>
  <c r="AT6" i="6"/>
  <c r="AQ20" i="6"/>
  <c r="AS20" i="6"/>
  <c r="AT19" i="6"/>
  <c r="AT16" i="6"/>
  <c r="AS15" i="6"/>
  <c r="AQ15" i="6"/>
  <c r="AT14" i="6"/>
  <c r="AR9" i="6"/>
  <c r="AT8" i="6"/>
  <c r="AS10" i="6"/>
  <c r="AQ25" i="6"/>
  <c r="AT24" i="6"/>
  <c r="AR3" i="6"/>
  <c r="AR4" i="6"/>
  <c r="AS8" i="6"/>
  <c r="AQ23" i="6"/>
  <c r="AT22" i="6"/>
  <c r="AS5" i="6"/>
  <c r="AT4" i="6"/>
  <c r="AQ10" i="6"/>
  <c r="AT9" i="6"/>
  <c r="AQ8" i="6"/>
  <c r="AS11" i="6"/>
  <c r="AT10" i="6"/>
  <c r="AQ3" i="6"/>
  <c r="AS16" i="6"/>
  <c r="AQ4" i="6"/>
  <c r="AT3" i="6"/>
  <c r="AT17" i="6"/>
  <c r="AQ13" i="6"/>
  <c r="AT12" i="6"/>
  <c r="AQ16" i="6"/>
  <c r="AT15" i="6"/>
  <c r="AT20" i="6"/>
  <c r="AT23" i="6"/>
  <c r="X14" i="6"/>
  <c r="Z14" i="6"/>
  <c r="Z22" i="6"/>
  <c r="X22" i="6"/>
  <c r="X11" i="6"/>
  <c r="Z11" i="6"/>
  <c r="X13" i="6"/>
  <c r="Z13" i="6"/>
  <c r="X21" i="6"/>
  <c r="Z21" i="6"/>
  <c r="Y14" i="6"/>
  <c r="X19" i="6"/>
  <c r="Z19" i="6"/>
  <c r="AA19" i="6"/>
  <c r="Z10" i="6"/>
  <c r="X10" i="6"/>
  <c r="X12" i="6"/>
  <c r="Z12" i="6"/>
  <c r="X5" i="6"/>
  <c r="Z5" i="6"/>
  <c r="Y22" i="6"/>
  <c r="X8" i="6"/>
  <c r="Z8" i="6"/>
  <c r="X9" i="6"/>
  <c r="Z9" i="6"/>
  <c r="Z18" i="6"/>
  <c r="X18" i="6"/>
  <c r="X20" i="6"/>
  <c r="Z20" i="6"/>
  <c r="Y5" i="6"/>
  <c r="Z7" i="6"/>
  <c r="X7" i="6"/>
  <c r="AA7" i="6"/>
  <c r="X16" i="6"/>
  <c r="Z16" i="6"/>
  <c r="X17" i="6"/>
  <c r="Z17" i="6"/>
  <c r="Z26" i="6"/>
  <c r="X26" i="6"/>
  <c r="Z4" i="6"/>
  <c r="X4" i="6"/>
  <c r="AA4" i="6"/>
  <c r="Y13" i="6"/>
  <c r="Z15" i="6"/>
  <c r="X15" i="6"/>
  <c r="X24" i="6"/>
  <c r="Z24" i="6"/>
  <c r="X25" i="6"/>
  <c r="Z25" i="6"/>
  <c r="Y10" i="6"/>
  <c r="Y12" i="6"/>
  <c r="Y21" i="6"/>
  <c r="AA21" i="6"/>
  <c r="X6" i="6"/>
  <c r="Z6" i="6"/>
  <c r="Z23" i="6"/>
  <c r="X23" i="6"/>
  <c r="Y8" i="6"/>
  <c r="Y9" i="6"/>
  <c r="Y11" i="6"/>
  <c r="AA14" i="6"/>
  <c r="AA20" i="6"/>
  <c r="AA24" i="6"/>
  <c r="AA18" i="6"/>
  <c r="AA23" i="6"/>
  <c r="AA25" i="6"/>
  <c r="AT7" i="6"/>
  <c r="AA26" i="6"/>
  <c r="AA9" i="6"/>
  <c r="AA5" i="6"/>
  <c r="AA11" i="6"/>
  <c r="AA17" i="6"/>
  <c r="AA8" i="6"/>
  <c r="AA12" i="6"/>
  <c r="AA22" i="6"/>
  <c r="AA13" i="6"/>
  <c r="AA16" i="6"/>
  <c r="AA10" i="6"/>
  <c r="AA6" i="6"/>
  <c r="AA15" i="6"/>
</calcChain>
</file>

<file path=xl/sharedStrings.xml><?xml version="1.0" encoding="utf-8"?>
<sst xmlns="http://schemas.openxmlformats.org/spreadsheetml/2006/main" count="131" uniqueCount="71">
  <si>
    <t>MgO</t>
  </si>
  <si>
    <t>Al2O3</t>
  </si>
  <si>
    <t>SiO2</t>
  </si>
  <si>
    <t>P2O5</t>
  </si>
  <si>
    <t>K2O</t>
  </si>
  <si>
    <t>CaO</t>
  </si>
  <si>
    <t>TiO2</t>
  </si>
  <si>
    <t>MnO</t>
  </si>
  <si>
    <t>Fe2O3</t>
  </si>
  <si>
    <t>C1S1</t>
  </si>
  <si>
    <t>C1S2</t>
  </si>
  <si>
    <t>C1S4</t>
  </si>
  <si>
    <t>C1S4D</t>
  </si>
  <si>
    <t>C1S5B</t>
  </si>
  <si>
    <t>C1S09</t>
  </si>
  <si>
    <t>C1S11</t>
  </si>
  <si>
    <t>C1S24</t>
  </si>
  <si>
    <t>C1S27</t>
  </si>
  <si>
    <t>C1S27B</t>
  </si>
  <si>
    <t>C1S31</t>
  </si>
  <si>
    <t>C2S2</t>
  </si>
  <si>
    <t>C2S3</t>
  </si>
  <si>
    <t>C2S5</t>
  </si>
  <si>
    <t>C2S8</t>
  </si>
  <si>
    <t>C2S15</t>
  </si>
  <si>
    <t>C2S17</t>
  </si>
  <si>
    <t>C2S24</t>
  </si>
  <si>
    <t>C2S27</t>
  </si>
  <si>
    <t>C2S27G</t>
  </si>
  <si>
    <t>C2S231</t>
  </si>
  <si>
    <t>C2S231G</t>
  </si>
  <si>
    <t>CGC1</t>
  </si>
  <si>
    <t>CGC2</t>
  </si>
  <si>
    <t>Na2O</t>
  </si>
  <si>
    <t>Major Oxide</t>
  </si>
  <si>
    <t>Sample ID</t>
  </si>
  <si>
    <t>ICV</t>
  </si>
  <si>
    <t>CIA</t>
  </si>
  <si>
    <t xml:space="preserve">SIO4 </t>
  </si>
  <si>
    <t>UCC</t>
  </si>
  <si>
    <t>DF 1 (4.)</t>
  </si>
  <si>
    <t>DF 2 (4.)</t>
  </si>
  <si>
    <t>DF1(2.)</t>
  </si>
  <si>
    <t>DF2(2.)</t>
  </si>
  <si>
    <t>PAAS</t>
  </si>
  <si>
    <t>M</t>
  </si>
  <si>
    <t>F</t>
  </si>
  <si>
    <t>W</t>
  </si>
  <si>
    <t>DF 1(3.H.S)</t>
  </si>
  <si>
    <t>DF1(3.L.S)</t>
  </si>
  <si>
    <t>DF2(3.H.S)</t>
  </si>
  <si>
    <t>DF2(3.L.S)</t>
  </si>
  <si>
    <t>maan</t>
  </si>
  <si>
    <t>EXP M</t>
  </si>
  <si>
    <t>EXP F</t>
  </si>
  <si>
    <t>EXP W</t>
  </si>
  <si>
    <t>TOTAl</t>
  </si>
  <si>
    <t>A</t>
  </si>
  <si>
    <t>mean</t>
  </si>
  <si>
    <t>CN</t>
  </si>
  <si>
    <t>CaO + Na2O3</t>
  </si>
  <si>
    <t>K</t>
  </si>
  <si>
    <t>TOTAL</t>
  </si>
  <si>
    <t>K/total</t>
  </si>
  <si>
    <t>CN/total</t>
  </si>
  <si>
    <t>A/total</t>
  </si>
  <si>
    <t>sum</t>
  </si>
  <si>
    <t>Mng/o.1</t>
  </si>
  <si>
    <t>PAASOF MnO</t>
  </si>
  <si>
    <t>Na2O/K2O</t>
  </si>
  <si>
    <t>SiO2/Al2O3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</si>
</sst>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6" applyNumberFormat="0" applyAlignment="0" applyProtection="0"/>
    <xf numFmtId="0" fontId="5" fillId="28" borderId="7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6" applyNumberFormat="0" applyAlignment="0" applyProtection="0"/>
    <xf numFmtId="0" fontId="12" fillId="0" borderId="11" applyNumberFormat="0" applyFill="0" applyAlignment="0" applyProtection="0"/>
    <xf numFmtId="0" fontId="13" fillId="31" borderId="0" applyNumberFormat="0" applyBorder="0" applyAlignment="0" applyProtection="0"/>
    <xf numFmtId="0" fontId="1" fillId="32" borderId="12" applyNumberFormat="0" applyFont="0" applyAlignment="0" applyProtection="0"/>
    <xf numFmtId="0" fontId="14" fillId="27" borderId="13" applyNumberFormat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Font="1" applyFill="1"/>
    <xf numFmtId="0" fontId="0" fillId="0" borderId="1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2" fontId="1" fillId="0" borderId="0" xfId="39" applyNumberFormat="1" applyFont="1"/>
    <xf numFmtId="0" fontId="0" fillId="0" borderId="3" xfId="0" applyFill="1" applyBorder="1" applyAlignment="1">
      <alignment horizontal="center" vertical="center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0" fontId="0" fillId="0" borderId="0" xfId="39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2" fontId="0" fillId="0" borderId="0" xfId="39" applyNumberFormat="1" applyFont="1" applyFill="1" applyBorder="1" applyAlignment="1">
      <alignment horizontal="center" vertical="center"/>
    </xf>
    <xf numFmtId="2" fontId="0" fillId="0" borderId="0" xfId="39" applyNumberFormat="1" applyFont="1"/>
    <xf numFmtId="2" fontId="0" fillId="0" borderId="0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'XRF Cox'!$N$3:$N$26</c:f>
              <c:numCache>
                <c:formatCode>0.00</c:formatCode>
                <c:ptCount val="24"/>
                <c:pt idx="0">
                  <c:v>78.277886497064571</c:v>
                </c:pt>
                <c:pt idx="1">
                  <c:v>84.115047678114578</c:v>
                </c:pt>
                <c:pt idx="2">
                  <c:v>75.424261470773104</c:v>
                </c:pt>
                <c:pt idx="3">
                  <c:v>87.90252393385552</c:v>
                </c:pt>
                <c:pt idx="4">
                  <c:v>96.986003511831896</c:v>
                </c:pt>
                <c:pt idx="5">
                  <c:v>83.982945001938077</c:v>
                </c:pt>
                <c:pt idx="6">
                  <c:v>79.800498753117211</c:v>
                </c:pt>
                <c:pt idx="7">
                  <c:v>87.556694931966092</c:v>
                </c:pt>
                <c:pt idx="8">
                  <c:v>94.327542788851432</c:v>
                </c:pt>
                <c:pt idx="9">
                  <c:v>81.989490849791636</c:v>
                </c:pt>
                <c:pt idx="10">
                  <c:v>93.320235756385074</c:v>
                </c:pt>
                <c:pt idx="11">
                  <c:v>92.345280245149794</c:v>
                </c:pt>
                <c:pt idx="12">
                  <c:v>75.996677740863788</c:v>
                </c:pt>
                <c:pt idx="13">
                  <c:v>79.175105873688082</c:v>
                </c:pt>
                <c:pt idx="14">
                  <c:v>75.04370443013687</c:v>
                </c:pt>
                <c:pt idx="15">
                  <c:v>90.461431965136953</c:v>
                </c:pt>
                <c:pt idx="16">
                  <c:v>79.229885512815429</c:v>
                </c:pt>
                <c:pt idx="17">
                  <c:v>78.491049617556371</c:v>
                </c:pt>
                <c:pt idx="18">
                  <c:v>77.955635360325843</c:v>
                </c:pt>
                <c:pt idx="19">
                  <c:v>96.92304981173433</c:v>
                </c:pt>
                <c:pt idx="20">
                  <c:v>75.250836120401331</c:v>
                </c:pt>
                <c:pt idx="21">
                  <c:v>86.422744527905664</c:v>
                </c:pt>
                <c:pt idx="22">
                  <c:v>93.423750342285302</c:v>
                </c:pt>
                <c:pt idx="23">
                  <c:v>96.23675946132964</c:v>
                </c:pt>
              </c:numCache>
            </c:numRef>
          </c:xVal>
          <c:yVal>
            <c:numRef>
              <c:f>'XRF Cox'!$O$3:$O$26</c:f>
              <c:numCache>
                <c:formatCode>General</c:formatCode>
                <c:ptCount val="24"/>
                <c:pt idx="0">
                  <c:v>0.65193749999999995</c:v>
                </c:pt>
                <c:pt idx="1">
                  <c:v>0.41664055299539182</c:v>
                </c:pt>
                <c:pt idx="2">
                  <c:v>0.70730128205128207</c:v>
                </c:pt>
                <c:pt idx="3">
                  <c:v>0.34075247524752478</c:v>
                </c:pt>
                <c:pt idx="4">
                  <c:v>9.1213709677419347E-2</c:v>
                </c:pt>
                <c:pt idx="5">
                  <c:v>0.44425641025641027</c:v>
                </c:pt>
                <c:pt idx="6">
                  <c:v>0.51838020833333343</c:v>
                </c:pt>
                <c:pt idx="7">
                  <c:v>0.34584684684684686</c:v>
                </c:pt>
                <c:pt idx="8">
                  <c:v>0.28867816742081442</c:v>
                </c:pt>
                <c:pt idx="9">
                  <c:v>0.49697237569060781</c:v>
                </c:pt>
                <c:pt idx="10">
                  <c:v>0.26143859649122808</c:v>
                </c:pt>
                <c:pt idx="11">
                  <c:v>0.21826008968609867</c:v>
                </c:pt>
                <c:pt idx="12">
                  <c:v>0.72120218579234974</c:v>
                </c:pt>
                <c:pt idx="13">
                  <c:v>0.44251162790697673</c:v>
                </c:pt>
                <c:pt idx="14">
                  <c:v>0.6663863636363635</c:v>
                </c:pt>
                <c:pt idx="15">
                  <c:v>0.23810869565217394</c:v>
                </c:pt>
                <c:pt idx="16">
                  <c:v>0.50182000000000004</c:v>
                </c:pt>
                <c:pt idx="17">
                  <c:v>0.66707142857142865</c:v>
                </c:pt>
                <c:pt idx="18">
                  <c:v>0.62410112359550562</c:v>
                </c:pt>
                <c:pt idx="19">
                  <c:v>7.7837229437229427E-2</c:v>
                </c:pt>
                <c:pt idx="20">
                  <c:v>0.6823080808080807</c:v>
                </c:pt>
                <c:pt idx="21">
                  <c:v>0.37680841121495334</c:v>
                </c:pt>
                <c:pt idx="22">
                  <c:v>0.17203201970443349</c:v>
                </c:pt>
                <c:pt idx="23">
                  <c:v>0.10146681415929203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2-224D-BAEC-5952615DF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24400"/>
        <c:axId val="381230280"/>
      </c:scatterChart>
      <c:valAx>
        <c:axId val="381224400"/>
        <c:scaling>
          <c:orientation val="minMax"/>
          <c:max val="10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1230280"/>
        <c:crosses val="autoZero"/>
        <c:crossBetween val="midCat"/>
        <c:majorUnit val="10"/>
        <c:minorUnit val="10"/>
      </c:valAx>
      <c:valAx>
        <c:axId val="381230280"/>
        <c:scaling>
          <c:orientation val="minMax"/>
          <c:max val="8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224400"/>
        <c:crossesAt val="0"/>
        <c:crossBetween val="midCat"/>
        <c:majorUnit val="1"/>
        <c:minorUnit val="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strRef>
              <c:f>'XRF Cox'!$AC$2:$AC$25</c:f>
              <c:strCache>
                <c:ptCount val="24"/>
                <c:pt idx="0">
                  <c:v>DF 1 (4.)</c:v>
                </c:pt>
                <c:pt idx="1">
                  <c:v>-0.296979</c:v>
                </c:pt>
                <c:pt idx="2">
                  <c:v>2.796259</c:v>
                </c:pt>
                <c:pt idx="3">
                  <c:v>-1.337624</c:v>
                </c:pt>
                <c:pt idx="4">
                  <c:v>1.249448</c:v>
                </c:pt>
                <c:pt idx="5">
                  <c:v>4.7031762</c:v>
                </c:pt>
                <c:pt idx="6">
                  <c:v>0.88105</c:v>
                </c:pt>
                <c:pt idx="7">
                  <c:v>0.71096</c:v>
                </c:pt>
                <c:pt idx="8">
                  <c:v>2.258139</c:v>
                </c:pt>
                <c:pt idx="9">
                  <c:v>5.9164162</c:v>
                </c:pt>
                <c:pt idx="10">
                  <c:v>0.330788</c:v>
                </c:pt>
                <c:pt idx="11">
                  <c:v>4.109618</c:v>
                </c:pt>
                <c:pt idx="12">
                  <c:v>2.985389</c:v>
                </c:pt>
                <c:pt idx="13">
                  <c:v>2.494905</c:v>
                </c:pt>
                <c:pt idx="14">
                  <c:v>-1.287295</c:v>
                </c:pt>
                <c:pt idx="15">
                  <c:v>0.279467</c:v>
                </c:pt>
                <c:pt idx="16">
                  <c:v>3.5701812</c:v>
                </c:pt>
                <c:pt idx="17">
                  <c:v>1.505059</c:v>
                </c:pt>
                <c:pt idx="18">
                  <c:v>1.986452</c:v>
                </c:pt>
                <c:pt idx="19">
                  <c:v>0.2363005</c:v>
                </c:pt>
                <c:pt idx="20">
                  <c:v>3.68154579</c:v>
                </c:pt>
                <c:pt idx="21">
                  <c:v>0.184085</c:v>
                </c:pt>
                <c:pt idx="22">
                  <c:v>1.474594</c:v>
                </c:pt>
                <c:pt idx="23">
                  <c:v>1.99736285</c:v>
                </c:pt>
              </c:strCache>
            </c:strRef>
          </c:cat>
          <c:val>
            <c:numRef>
              <c:f>'XRF Cox'!$AD$2:$AD$25</c:f>
              <c:numCache>
                <c:formatCode>General</c:formatCode>
                <c:ptCount val="24"/>
                <c:pt idx="0">
                  <c:v>0</c:v>
                </c:pt>
                <c:pt idx="1">
                  <c:v>-8.6634649999999986</c:v>
                </c:pt>
                <c:pt idx="2">
                  <c:v>-7.8142509999999987</c:v>
                </c:pt>
                <c:pt idx="3">
                  <c:v>-9.1397259999999996</c:v>
                </c:pt>
                <c:pt idx="4">
                  <c:v>-7.6293600000000001</c:v>
                </c:pt>
                <c:pt idx="5">
                  <c:v>-6.4089443999999993</c:v>
                </c:pt>
                <c:pt idx="6">
                  <c:v>-8.4116479999999996</c:v>
                </c:pt>
                <c:pt idx="7">
                  <c:v>-8.4666800000000002</c:v>
                </c:pt>
                <c:pt idx="8">
                  <c:v>-7.8839449999999998</c:v>
                </c:pt>
                <c:pt idx="9">
                  <c:v>-7.2197389999999988</c:v>
                </c:pt>
                <c:pt idx="10">
                  <c:v>-8.4653720000000003</c:v>
                </c:pt>
                <c:pt idx="11">
                  <c:v>-7.5676299999999994</c:v>
                </c:pt>
                <c:pt idx="12">
                  <c:v>-7.1143819999999991</c:v>
                </c:pt>
                <c:pt idx="13">
                  <c:v>-7.8869409999999993</c:v>
                </c:pt>
                <c:pt idx="14">
                  <c:v>-8.9875350000000012</c:v>
                </c:pt>
                <c:pt idx="15">
                  <c:v>-8.5820089999999993</c:v>
                </c:pt>
                <c:pt idx="16">
                  <c:v>-7.0406403999999991</c:v>
                </c:pt>
                <c:pt idx="17">
                  <c:v>-7.949465</c:v>
                </c:pt>
                <c:pt idx="18">
                  <c:v>-9.1559599999999985</c:v>
                </c:pt>
                <c:pt idx="19">
                  <c:v>-8.6801645000000001</c:v>
                </c:pt>
                <c:pt idx="20">
                  <c:v>-6.2105859299999997</c:v>
                </c:pt>
                <c:pt idx="21">
                  <c:v>-9.4253649999999993</c:v>
                </c:pt>
                <c:pt idx="22">
                  <c:v>-8.027633999999999</c:v>
                </c:pt>
                <c:pt idx="23">
                  <c:v>-6.8586110499999986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F-614F-884C-0067781C3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81228320"/>
        <c:axId val="381230672"/>
        <c:axId val="0"/>
      </c:bar3DChart>
      <c:catAx>
        <c:axId val="38122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8123067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381230672"/>
        <c:scaling>
          <c:orientation val="minMax"/>
          <c:max val="10"/>
          <c:min val="-10"/>
        </c:scaling>
        <c:delete val="0"/>
        <c:axPos val="l"/>
        <c:numFmt formatCode="General" sourceLinked="1"/>
        <c:majorTickMark val="none"/>
        <c:minorTickMark val="none"/>
        <c:tickLblPos val="nextTo"/>
        <c:crossAx val="381228320"/>
        <c:crossesAt val="10"/>
        <c:crossBetween val="between"/>
        <c:majorUnit val="2"/>
        <c:minorUnit val="2"/>
      </c:val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48D-AE43-8A59-AF6AEABE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224008"/>
        <c:axId val="381224792"/>
      </c:lineChart>
      <c:catAx>
        <c:axId val="381224008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381224792"/>
        <c:crosses val="autoZero"/>
        <c:auto val="1"/>
        <c:lblAlgn val="ctr"/>
        <c:lblOffset val="100"/>
        <c:tickMarkSkip val="1"/>
        <c:noMultiLvlLbl val="0"/>
      </c:catAx>
      <c:valAx>
        <c:axId val="381224792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3812240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C1B-D84E-B315-55FEE7A9DAC4}"/>
            </c:ext>
          </c:extLst>
        </c:ser>
        <c:ser>
          <c:idx val="1"/>
          <c:order val="1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C1B-D84E-B315-55FEE7A9DAC4}"/>
            </c:ext>
          </c:extLst>
        </c:ser>
        <c:ser>
          <c:idx val="2"/>
          <c:order val="2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C1B-D84E-B315-55FEE7A9DAC4}"/>
            </c:ext>
          </c:extLst>
        </c:ser>
        <c:ser>
          <c:idx val="3"/>
          <c:order val="3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1C1B-D84E-B315-55FEE7A9DAC4}"/>
            </c:ext>
          </c:extLst>
        </c:ser>
        <c:ser>
          <c:idx val="4"/>
          <c:order val="4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1C1B-D84E-B315-55FEE7A9DAC4}"/>
            </c:ext>
          </c:extLst>
        </c:ser>
        <c:ser>
          <c:idx val="5"/>
          <c:order val="5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1C1B-D84E-B315-55FEE7A9DAC4}"/>
            </c:ext>
          </c:extLst>
        </c:ser>
        <c:ser>
          <c:idx val="6"/>
          <c:order val="6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1C1B-D84E-B315-55FEE7A9DAC4}"/>
            </c:ext>
          </c:extLst>
        </c:ser>
        <c:ser>
          <c:idx val="7"/>
          <c:order val="7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1C1B-D84E-B315-55FEE7A9DAC4}"/>
            </c:ext>
          </c:extLst>
        </c:ser>
        <c:ser>
          <c:idx val="8"/>
          <c:order val="8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1C1B-D84E-B315-55FEE7A9DAC4}"/>
            </c:ext>
          </c:extLst>
        </c:ser>
        <c:ser>
          <c:idx val="9"/>
          <c:order val="9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1C1B-D84E-B315-55FEE7A9D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225184"/>
        <c:axId val="305170848"/>
      </c:lineChart>
      <c:catAx>
        <c:axId val="38122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170848"/>
        <c:crosses val="autoZero"/>
        <c:auto val="1"/>
        <c:lblAlgn val="ctr"/>
        <c:lblOffset val="100"/>
        <c:noMultiLvlLbl val="0"/>
      </c:catAx>
      <c:valAx>
        <c:axId val="3051708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225184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'XRF Cox'!$AE$70</c:f>
              <c:strCache>
                <c:ptCount val="1"/>
                <c:pt idx="0">
                  <c:v>SIO4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'XRF Cox'!$AE$71:$AE$94</c:f>
              <c:numCache>
                <c:formatCode>General</c:formatCode>
                <c:ptCount val="24"/>
                <c:pt idx="0">
                  <c:v>1.0716560509554141</c:v>
                </c:pt>
                <c:pt idx="1">
                  <c:v>1.1178343949044587</c:v>
                </c:pt>
                <c:pt idx="2">
                  <c:v>1.1449044585987262</c:v>
                </c:pt>
                <c:pt idx="3">
                  <c:v>1.1624203821656052</c:v>
                </c:pt>
                <c:pt idx="4">
                  <c:v>1.1640127388535031</c:v>
                </c:pt>
                <c:pt idx="5">
                  <c:v>1.1496815286624205</c:v>
                </c:pt>
                <c:pt idx="6">
                  <c:v>1.1337579617834397</c:v>
                </c:pt>
                <c:pt idx="7">
                  <c:v>1.1242038216560508</c:v>
                </c:pt>
                <c:pt idx="8">
                  <c:v>1.1687898089171975</c:v>
                </c:pt>
                <c:pt idx="9">
                  <c:v>1.1560509554140126</c:v>
                </c:pt>
                <c:pt idx="10">
                  <c:v>1.1385350318471339</c:v>
                </c:pt>
                <c:pt idx="11">
                  <c:v>1.1640127388535031</c:v>
                </c:pt>
                <c:pt idx="12">
                  <c:v>1.0429936305732486</c:v>
                </c:pt>
                <c:pt idx="13">
                  <c:v>1.1019108280254779</c:v>
                </c:pt>
                <c:pt idx="14">
                  <c:v>1.1305732484076434</c:v>
                </c:pt>
                <c:pt idx="15">
                  <c:v>1.1449044585987262</c:v>
                </c:pt>
                <c:pt idx="16">
                  <c:v>1.1242038216560508</c:v>
                </c:pt>
                <c:pt idx="17">
                  <c:v>1.0780254777070064</c:v>
                </c:pt>
                <c:pt idx="18">
                  <c:v>1.1194267515923566</c:v>
                </c:pt>
                <c:pt idx="19">
                  <c:v>1.1958598726114649</c:v>
                </c:pt>
                <c:pt idx="20">
                  <c:v>1.0732484076433122</c:v>
                </c:pt>
                <c:pt idx="21">
                  <c:v>1.1321656050955413</c:v>
                </c:pt>
                <c:pt idx="22">
                  <c:v>1.1974522292993632</c:v>
                </c:pt>
                <c:pt idx="23">
                  <c:v>1.1910828025477707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2-FF48-A4E2-76199EFBC4DC}"/>
            </c:ext>
          </c:extLst>
        </c:ser>
        <c:ser>
          <c:idx val="1"/>
          <c:order val="1"/>
          <c:tx>
            <c:strRef>
              <c:f>'XRF Cox'!$AF$70</c:f>
              <c:strCache>
                <c:ptCount val="1"/>
                <c:pt idx="0">
                  <c:v>Al2O3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'XRF Cox'!$AF$71:$AF$94</c:f>
              <c:numCache>
                <c:formatCode>General</c:formatCode>
                <c:ptCount val="24"/>
                <c:pt idx="0">
                  <c:v>0.84656084656084662</c:v>
                </c:pt>
                <c:pt idx="1">
                  <c:v>1.1481481481481481</c:v>
                </c:pt>
                <c:pt idx="2">
                  <c:v>0.82539682539682546</c:v>
                </c:pt>
                <c:pt idx="3">
                  <c:v>1.0687830687830688</c:v>
                </c:pt>
                <c:pt idx="4">
                  <c:v>1.3121693121693123</c:v>
                </c:pt>
                <c:pt idx="5">
                  <c:v>1.0317460317460319</c:v>
                </c:pt>
                <c:pt idx="6">
                  <c:v>1.0158730158730158</c:v>
                </c:pt>
                <c:pt idx="7">
                  <c:v>1.1746031746031746</c:v>
                </c:pt>
                <c:pt idx="8">
                  <c:v>1.1693121693121695</c:v>
                </c:pt>
                <c:pt idx="9">
                  <c:v>0.95767195767195779</c:v>
                </c:pt>
                <c:pt idx="10">
                  <c:v>1.2063492063492065</c:v>
                </c:pt>
                <c:pt idx="11">
                  <c:v>1.17989417989418</c:v>
                </c:pt>
                <c:pt idx="12">
                  <c:v>0.96825396825396837</c:v>
                </c:pt>
                <c:pt idx="13">
                  <c:v>1.1375661375661377</c:v>
                </c:pt>
                <c:pt idx="14">
                  <c:v>0.93121693121693139</c:v>
                </c:pt>
                <c:pt idx="15">
                  <c:v>1.216931216931217</c:v>
                </c:pt>
                <c:pt idx="16">
                  <c:v>1.0582010582010584</c:v>
                </c:pt>
                <c:pt idx="17">
                  <c:v>1.0370370370370372</c:v>
                </c:pt>
                <c:pt idx="18">
                  <c:v>0.94179894179894186</c:v>
                </c:pt>
                <c:pt idx="19">
                  <c:v>1.2222222222222223</c:v>
                </c:pt>
                <c:pt idx="20">
                  <c:v>1.0476190476190477</c:v>
                </c:pt>
                <c:pt idx="21">
                  <c:v>1.1322751322751323</c:v>
                </c:pt>
                <c:pt idx="22">
                  <c:v>1.0740740740740742</c:v>
                </c:pt>
                <c:pt idx="23">
                  <c:v>1.195767195767196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2-FF48-A4E2-76199EFBC4DC}"/>
            </c:ext>
          </c:extLst>
        </c:ser>
        <c:ser>
          <c:idx val="2"/>
          <c:order val="2"/>
          <c:tx>
            <c:strRef>
              <c:f>'XRF Cox'!$AG$70</c:f>
              <c:strCache>
                <c:ptCount val="1"/>
                <c:pt idx="0">
                  <c:v>CaO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'XRF Cox'!$AG$71:$AG$94</c:f>
              <c:numCache>
                <c:formatCode>General</c:formatCode>
                <c:ptCount val="24"/>
                <c:pt idx="0">
                  <c:v>0.5461538461538461</c:v>
                </c:pt>
                <c:pt idx="1">
                  <c:v>0.36769230769230765</c:v>
                </c:pt>
                <c:pt idx="2">
                  <c:v>0.67923076923076919</c:v>
                </c:pt>
                <c:pt idx="3">
                  <c:v>0.23076923076923075</c:v>
                </c:pt>
                <c:pt idx="4">
                  <c:v>0.24361538461538459</c:v>
                </c:pt>
                <c:pt idx="5">
                  <c:v>0.39923076923076922</c:v>
                </c:pt>
                <c:pt idx="6">
                  <c:v>0.79230769230769227</c:v>
                </c:pt>
                <c:pt idx="7">
                  <c:v>0.38846153846153847</c:v>
                </c:pt>
                <c:pt idx="8">
                  <c:v>9.2307692307692299E-2</c:v>
                </c:pt>
                <c:pt idx="9">
                  <c:v>0.31999999999999995</c:v>
                </c:pt>
                <c:pt idx="10">
                  <c:v>0.12538461538461537</c:v>
                </c:pt>
                <c:pt idx="11">
                  <c:v>5.2692307692307698E-2</c:v>
                </c:pt>
                <c:pt idx="12">
                  <c:v>1.323076923076923</c:v>
                </c:pt>
                <c:pt idx="13">
                  <c:v>0.39615384615384613</c:v>
                </c:pt>
                <c:pt idx="14">
                  <c:v>0.72</c:v>
                </c:pt>
                <c:pt idx="15">
                  <c:v>0.19015384615384615</c:v>
                </c:pt>
                <c:pt idx="16">
                  <c:v>0.55538461538461537</c:v>
                </c:pt>
                <c:pt idx="17">
                  <c:v>0.90769230769230758</c:v>
                </c:pt>
                <c:pt idx="18">
                  <c:v>0.38153846153846155</c:v>
                </c:pt>
                <c:pt idx="19">
                  <c:v>7.799230769230768E-2</c:v>
                </c:pt>
                <c:pt idx="20">
                  <c:v>0.84615384615384615</c:v>
                </c:pt>
                <c:pt idx="21">
                  <c:v>0.40153846153846157</c:v>
                </c:pt>
                <c:pt idx="22">
                  <c:v>3.6846153846153841E-2</c:v>
                </c:pt>
                <c:pt idx="23">
                  <c:v>0.16323076923076923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E2-FF48-A4E2-76199EFBC4DC}"/>
            </c:ext>
          </c:extLst>
        </c:ser>
        <c:ser>
          <c:idx val="3"/>
          <c:order val="3"/>
          <c:tx>
            <c:strRef>
              <c:f>'XRF Cox'!$AH$70</c:f>
              <c:strCache>
                <c:ptCount val="1"/>
                <c:pt idx="0">
                  <c:v>Fe2O3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'XRF Cox'!$AH$71:$AH$94</c:f>
              <c:numCache>
                <c:formatCode>General</c:formatCode>
                <c:ptCount val="24"/>
                <c:pt idx="0">
                  <c:v>0.66</c:v>
                </c:pt>
                <c:pt idx="1">
                  <c:v>0.5938461538461538</c:v>
                </c:pt>
                <c:pt idx="2">
                  <c:v>0.68307692307692314</c:v>
                </c:pt>
                <c:pt idx="3">
                  <c:v>0.38461538461538464</c:v>
                </c:pt>
                <c:pt idx="4">
                  <c:v>9.0307692307692297E-2</c:v>
                </c:pt>
                <c:pt idx="5">
                  <c:v>0.53076923076923077</c:v>
                </c:pt>
                <c:pt idx="6">
                  <c:v>0.57076923076923081</c:v>
                </c:pt>
                <c:pt idx="7">
                  <c:v>0.42307692307692307</c:v>
                </c:pt>
                <c:pt idx="8">
                  <c:v>0.65492307692307683</c:v>
                </c:pt>
                <c:pt idx="9">
                  <c:v>0.60153846153846158</c:v>
                </c:pt>
                <c:pt idx="10">
                  <c:v>0.46153846153846156</c:v>
                </c:pt>
                <c:pt idx="11">
                  <c:v>0.29538461538461536</c:v>
                </c:pt>
                <c:pt idx="12">
                  <c:v>0.80615384615384622</c:v>
                </c:pt>
                <c:pt idx="13">
                  <c:v>0.32</c:v>
                </c:pt>
                <c:pt idx="14">
                  <c:v>0.74615384615384606</c:v>
                </c:pt>
                <c:pt idx="15">
                  <c:v>0.34307692307692306</c:v>
                </c:pt>
                <c:pt idx="16">
                  <c:v>0.61230769230769233</c:v>
                </c:pt>
                <c:pt idx="17">
                  <c:v>0.92461538461538462</c:v>
                </c:pt>
                <c:pt idx="18">
                  <c:v>0.76615384615384619</c:v>
                </c:pt>
                <c:pt idx="19">
                  <c:v>5.6615384615384616E-2</c:v>
                </c:pt>
                <c:pt idx="20">
                  <c:v>0.79230769230769238</c:v>
                </c:pt>
                <c:pt idx="21">
                  <c:v>0.42461538461538456</c:v>
                </c:pt>
                <c:pt idx="22">
                  <c:v>0.20461538461538462</c:v>
                </c:pt>
                <c:pt idx="23">
                  <c:v>7.3076923076923067E-2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E2-FF48-A4E2-76199EFBC4DC}"/>
            </c:ext>
          </c:extLst>
        </c:ser>
        <c:ser>
          <c:idx val="4"/>
          <c:order val="4"/>
          <c:tx>
            <c:strRef>
              <c:f>'XRF Cox'!$AI$70</c:f>
              <c:strCache>
                <c:ptCount val="1"/>
                <c:pt idx="0">
                  <c:v>K2O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'XRF Cox'!$AI$71:$AI$94</c:f>
              <c:numCache>
                <c:formatCode>General</c:formatCode>
                <c:ptCount val="24"/>
                <c:pt idx="0">
                  <c:v>0.59459459459459463</c:v>
                </c:pt>
                <c:pt idx="1">
                  <c:v>0.572972972972973</c:v>
                </c:pt>
                <c:pt idx="2">
                  <c:v>0.69729729729729728</c:v>
                </c:pt>
                <c:pt idx="3">
                  <c:v>0.34594594594594591</c:v>
                </c:pt>
                <c:pt idx="4">
                  <c:v>9.0270270270270264E-2</c:v>
                </c:pt>
                <c:pt idx="5">
                  <c:v>0.52702702702702697</c:v>
                </c:pt>
                <c:pt idx="6">
                  <c:v>0.64324324324324322</c:v>
                </c:pt>
                <c:pt idx="7">
                  <c:v>0.39189189189189189</c:v>
                </c:pt>
                <c:pt idx="8">
                  <c:v>0.17810810810810812</c:v>
                </c:pt>
                <c:pt idx="9">
                  <c:v>0.6</c:v>
                </c:pt>
                <c:pt idx="10">
                  <c:v>0.22135135135135134</c:v>
                </c:pt>
                <c:pt idx="11">
                  <c:v>0.27027027027027023</c:v>
                </c:pt>
                <c:pt idx="12">
                  <c:v>0.65135135135135136</c:v>
                </c:pt>
                <c:pt idx="13">
                  <c:v>0.87027027027027026</c:v>
                </c:pt>
                <c:pt idx="14">
                  <c:v>0.80540540540540539</c:v>
                </c:pt>
                <c:pt idx="15">
                  <c:v>0.35675675675675678</c:v>
                </c:pt>
                <c:pt idx="16">
                  <c:v>0.74054054054054053</c:v>
                </c:pt>
                <c:pt idx="17">
                  <c:v>0.68648648648648647</c:v>
                </c:pt>
                <c:pt idx="18">
                  <c:v>0.7432432432432432</c:v>
                </c:pt>
                <c:pt idx="19">
                  <c:v>0.10351351351351351</c:v>
                </c:pt>
                <c:pt idx="20">
                  <c:v>0.88648648648648642</c:v>
                </c:pt>
                <c:pt idx="21">
                  <c:v>0.41081081081081078</c:v>
                </c:pt>
                <c:pt idx="22">
                  <c:v>0.22621621621621621</c:v>
                </c:pt>
                <c:pt idx="23">
                  <c:v>0.10999999999999999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E2-FF48-A4E2-76199EFBC4DC}"/>
            </c:ext>
          </c:extLst>
        </c:ser>
        <c:ser>
          <c:idx val="5"/>
          <c:order val="5"/>
          <c:tx>
            <c:strRef>
              <c:f>'XRF Cox'!$AJ$70</c:f>
              <c:strCache>
                <c:ptCount val="1"/>
                <c:pt idx="0">
                  <c:v>MgO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'XRF Cox'!$AJ$71:$AJ$94</c:f>
              <c:numCache>
                <c:formatCode>General</c:formatCode>
                <c:ptCount val="24"/>
                <c:pt idx="0">
                  <c:v>0.58636363636363631</c:v>
                </c:pt>
                <c:pt idx="1">
                  <c:v>0.47272727272727272</c:v>
                </c:pt>
                <c:pt idx="2">
                  <c:v>0.65454545454545443</c:v>
                </c:pt>
                <c:pt idx="3">
                  <c:v>0.71818181818181814</c:v>
                </c:pt>
                <c:pt idx="4">
                  <c:v>0.40909090909090906</c:v>
                </c:pt>
                <c:pt idx="5">
                  <c:v>0.63181818181818172</c:v>
                </c:pt>
                <c:pt idx="6">
                  <c:v>0.6</c:v>
                </c:pt>
                <c:pt idx="7">
                  <c:v>0.79545454545454541</c:v>
                </c:pt>
                <c:pt idx="8">
                  <c:v>0.31863636363636361</c:v>
                </c:pt>
                <c:pt idx="9">
                  <c:v>0.47272727272727272</c:v>
                </c:pt>
                <c:pt idx="10">
                  <c:v>0.6</c:v>
                </c:pt>
                <c:pt idx="11">
                  <c:v>0.48636363636363633</c:v>
                </c:pt>
                <c:pt idx="12">
                  <c:v>0.40818181818181815</c:v>
                </c:pt>
                <c:pt idx="13">
                  <c:v>0.78636363636363626</c:v>
                </c:pt>
                <c:pt idx="14">
                  <c:v>0.44590909090909087</c:v>
                </c:pt>
                <c:pt idx="15">
                  <c:v>0.36454545454545456</c:v>
                </c:pt>
                <c:pt idx="16">
                  <c:v>0.35136363636363632</c:v>
                </c:pt>
                <c:pt idx="17">
                  <c:v>0.73636363636363633</c:v>
                </c:pt>
                <c:pt idx="18">
                  <c:v>0.45909090909090905</c:v>
                </c:pt>
                <c:pt idx="19">
                  <c:v>0.31545454545454543</c:v>
                </c:pt>
                <c:pt idx="20">
                  <c:v>0.8136363636363636</c:v>
                </c:pt>
                <c:pt idx="21">
                  <c:v>0.86818181818181805</c:v>
                </c:pt>
                <c:pt idx="22">
                  <c:v>0.32909090909090905</c:v>
                </c:pt>
                <c:pt idx="23">
                  <c:v>0.42318181818181816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E2-FF48-A4E2-76199EFBC4DC}"/>
            </c:ext>
          </c:extLst>
        </c:ser>
        <c:ser>
          <c:idx val="6"/>
          <c:order val="6"/>
          <c:tx>
            <c:strRef>
              <c:f>'XRF Cox'!$AK$70</c:f>
              <c:strCache>
                <c:ptCount val="1"/>
                <c:pt idx="0">
                  <c:v>Na2O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Cox'!$AK$71:$AK$94</c:f>
              <c:numCache>
                <c:formatCode>General</c:formatCode>
                <c:ptCount val="24"/>
                <c:pt idx="0">
                  <c:v>1.2750000000000001</c:v>
                </c:pt>
                <c:pt idx="1">
                  <c:v>1.25</c:v>
                </c:pt>
                <c:pt idx="2">
                  <c:v>1.35</c:v>
                </c:pt>
                <c:pt idx="3">
                  <c:v>1</c:v>
                </c:pt>
                <c:pt idx="4">
                  <c:v>0.1</c:v>
                </c:pt>
                <c:pt idx="5">
                  <c:v>1.0416666666666667</c:v>
                </c:pt>
                <c:pt idx="6">
                  <c:v>1.2083333333333333</c:v>
                </c:pt>
                <c:pt idx="7">
                  <c:v>1</c:v>
                </c:pt>
                <c:pt idx="8">
                  <c:v>0.45833333333333337</c:v>
                </c:pt>
                <c:pt idx="9">
                  <c:v>1.1166666666666667</c:v>
                </c:pt>
                <c:pt idx="10">
                  <c:v>0.54166666666666674</c:v>
                </c:pt>
                <c:pt idx="11">
                  <c:v>0.65</c:v>
                </c:pt>
                <c:pt idx="12">
                  <c:v>1.375</c:v>
                </c:pt>
                <c:pt idx="13">
                  <c:v>1.6</c:v>
                </c:pt>
                <c:pt idx="14">
                  <c:v>1.6141666666666667</c:v>
                </c:pt>
                <c:pt idx="15">
                  <c:v>0.71500000000000008</c:v>
                </c:pt>
                <c:pt idx="16">
                  <c:v>1.4841666666666669</c:v>
                </c:pt>
                <c:pt idx="17">
                  <c:v>1.3758333333333335</c:v>
                </c:pt>
                <c:pt idx="18">
                  <c:v>1.4895833333333335</c:v>
                </c:pt>
                <c:pt idx="19">
                  <c:v>0.20745833333333336</c:v>
                </c:pt>
                <c:pt idx="20">
                  <c:v>1.7766666666666668</c:v>
                </c:pt>
                <c:pt idx="21">
                  <c:v>1.1000000000000001</c:v>
                </c:pt>
                <c:pt idx="22">
                  <c:v>0.45337500000000003</c:v>
                </c:pt>
                <c:pt idx="23">
                  <c:v>0.22045833333333334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E2-FF48-A4E2-76199EFBC4DC}"/>
            </c:ext>
          </c:extLst>
        </c:ser>
        <c:ser>
          <c:idx val="7"/>
          <c:order val="7"/>
          <c:tx>
            <c:strRef>
              <c:f>'XRF Cox'!$AT$70</c:f>
              <c:strCache>
                <c:ptCount val="1"/>
                <c:pt idx="0">
                  <c:v>TiO2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Cox'!$AT$71:$AT$94</c:f>
              <c:numCache>
                <c:formatCode>General</c:formatCode>
                <c:ptCount val="24"/>
                <c:pt idx="0">
                  <c:v>0.433</c:v>
                </c:pt>
                <c:pt idx="1">
                  <c:v>0.63300000000000001</c:v>
                </c:pt>
                <c:pt idx="2">
                  <c:v>0.64400000000000002</c:v>
                </c:pt>
                <c:pt idx="3">
                  <c:v>0.38400000000000001</c:v>
                </c:pt>
                <c:pt idx="4">
                  <c:v>0.115</c:v>
                </c:pt>
                <c:pt idx="5">
                  <c:v>0.54800000000000004</c:v>
                </c:pt>
                <c:pt idx="6">
                  <c:v>0.65</c:v>
                </c:pt>
                <c:pt idx="7">
                  <c:v>0.41699999999999998</c:v>
                </c:pt>
                <c:pt idx="8">
                  <c:v>7.8600000000000003E-2</c:v>
                </c:pt>
                <c:pt idx="9">
                  <c:v>0.67600000000000005</c:v>
                </c:pt>
                <c:pt idx="10">
                  <c:v>0.20799999999999999</c:v>
                </c:pt>
                <c:pt idx="11">
                  <c:v>0.29899999999999999</c:v>
                </c:pt>
                <c:pt idx="12">
                  <c:v>0.625</c:v>
                </c:pt>
                <c:pt idx="13">
                  <c:v>0.89500000000000002</c:v>
                </c:pt>
                <c:pt idx="14">
                  <c:v>0.81399999999999995</c:v>
                </c:pt>
                <c:pt idx="15">
                  <c:v>0.432</c:v>
                </c:pt>
                <c:pt idx="16">
                  <c:v>0.79400000000000004</c:v>
                </c:pt>
                <c:pt idx="17">
                  <c:v>0.79900000000000004</c:v>
                </c:pt>
                <c:pt idx="18">
                  <c:v>0.90100000000000002</c:v>
                </c:pt>
                <c:pt idx="19">
                  <c:v>0.11799999999999999</c:v>
                </c:pt>
                <c:pt idx="20">
                  <c:v>0.97099999999999997</c:v>
                </c:pt>
                <c:pt idx="21">
                  <c:v>0.44600000000000001</c:v>
                </c:pt>
                <c:pt idx="22">
                  <c:v>0.249</c:v>
                </c:pt>
                <c:pt idx="23">
                  <c:v>0.11899999999999999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E2-FF48-A4E2-76199EFBC4DC}"/>
            </c:ext>
          </c:extLst>
        </c:ser>
        <c:ser>
          <c:idx val="8"/>
          <c:order val="8"/>
          <c:tx>
            <c:strRef>
              <c:f>'XRF Cox'!$AW$70</c:f>
              <c:strCache>
                <c:ptCount val="1"/>
                <c:pt idx="0">
                  <c:v>P2O5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Cox'!$AW$71:$AW$94</c:f>
              <c:numCache>
                <c:formatCode>General</c:formatCode>
                <c:ptCount val="24"/>
                <c:pt idx="0">
                  <c:v>0.28500000000000003</c:v>
                </c:pt>
                <c:pt idx="1">
                  <c:v>0.22000000000000003</c:v>
                </c:pt>
                <c:pt idx="2">
                  <c:v>0.26500000000000001</c:v>
                </c:pt>
                <c:pt idx="3">
                  <c:v>0.22166666666666668</c:v>
                </c:pt>
                <c:pt idx="4">
                  <c:v>0.15083333333333335</c:v>
                </c:pt>
                <c:pt idx="5">
                  <c:v>0.30833333333333335</c:v>
                </c:pt>
                <c:pt idx="6">
                  <c:v>0.36</c:v>
                </c:pt>
                <c:pt idx="7">
                  <c:v>0.24</c:v>
                </c:pt>
                <c:pt idx="8">
                  <c:v>0.16183333333333336</c:v>
                </c:pt>
                <c:pt idx="9">
                  <c:v>0.24666666666666667</c:v>
                </c:pt>
                <c:pt idx="10">
                  <c:v>0.26166666666666666</c:v>
                </c:pt>
                <c:pt idx="11">
                  <c:v>0.22166666666666668</c:v>
                </c:pt>
                <c:pt idx="12">
                  <c:v>0.81333333333333335</c:v>
                </c:pt>
                <c:pt idx="13">
                  <c:v>0.19666666666666666</c:v>
                </c:pt>
                <c:pt idx="14">
                  <c:v>0.28333333333333338</c:v>
                </c:pt>
                <c:pt idx="15">
                  <c:v>0.13650000000000001</c:v>
                </c:pt>
                <c:pt idx="16">
                  <c:v>0.26500000000000001</c:v>
                </c:pt>
                <c:pt idx="17">
                  <c:v>0.4366666666666667</c:v>
                </c:pt>
                <c:pt idx="18">
                  <c:v>0.21500000000000002</c:v>
                </c:pt>
                <c:pt idx="19">
                  <c:v>0.1481666666666667</c:v>
                </c:pt>
                <c:pt idx="20">
                  <c:v>0.24</c:v>
                </c:pt>
                <c:pt idx="21">
                  <c:v>0.27333333333333337</c:v>
                </c:pt>
                <c:pt idx="22">
                  <c:v>0.15783333333333335</c:v>
                </c:pt>
                <c:pt idx="23">
                  <c:v>0.15166666666666667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E2-FF48-A4E2-76199EFBC4DC}"/>
            </c:ext>
          </c:extLst>
        </c:ser>
        <c:ser>
          <c:idx val="9"/>
          <c:order val="9"/>
          <c:tx>
            <c:strRef>
              <c:f>'XRF Cox'!$AX$70</c:f>
              <c:strCache>
                <c:ptCount val="1"/>
                <c:pt idx="0">
                  <c:v>MnO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Cox'!$AX$71:$AX$94</c:f>
              <c:numCache>
                <c:formatCode>General</c:formatCode>
                <c:ptCount val="24"/>
                <c:pt idx="0">
                  <c:v>3.7363636363636363</c:v>
                </c:pt>
                <c:pt idx="1">
                  <c:v>0.39181818181818179</c:v>
                </c:pt>
                <c:pt idx="2">
                  <c:v>0.64454545454545453</c:v>
                </c:pt>
                <c:pt idx="3">
                  <c:v>0.21090909090909091</c:v>
                </c:pt>
                <c:pt idx="4">
                  <c:v>0.04</c:v>
                </c:pt>
                <c:pt idx="5">
                  <c:v>0.94545454545454544</c:v>
                </c:pt>
                <c:pt idx="6">
                  <c:v>0.57181818181818178</c:v>
                </c:pt>
                <c:pt idx="7">
                  <c:v>0.20727272727272728</c:v>
                </c:pt>
                <c:pt idx="8">
                  <c:v>0.84352272727272715</c:v>
                </c:pt>
                <c:pt idx="9">
                  <c:v>0.62909090909090903</c:v>
                </c:pt>
                <c:pt idx="10">
                  <c:v>0.08</c:v>
                </c:pt>
                <c:pt idx="11">
                  <c:v>0.26090909090909092</c:v>
                </c:pt>
                <c:pt idx="12">
                  <c:v>11.636363636363637</c:v>
                </c:pt>
                <c:pt idx="13">
                  <c:v>0.44545454545454549</c:v>
                </c:pt>
                <c:pt idx="14">
                  <c:v>0.40363636363636363</c:v>
                </c:pt>
                <c:pt idx="15">
                  <c:v>0.17545454545454547</c:v>
                </c:pt>
                <c:pt idx="16">
                  <c:v>0.36727272727272725</c:v>
                </c:pt>
                <c:pt idx="17">
                  <c:v>0.66909090909090907</c:v>
                </c:pt>
                <c:pt idx="18">
                  <c:v>0.77727272727272734</c:v>
                </c:pt>
                <c:pt idx="19">
                  <c:v>2.4545454545454547E-2</c:v>
                </c:pt>
                <c:pt idx="20">
                  <c:v>0.52454545454545454</c:v>
                </c:pt>
                <c:pt idx="21">
                  <c:v>0.28818181818181815</c:v>
                </c:pt>
                <c:pt idx="22">
                  <c:v>8.4545454545454535E-2</c:v>
                </c:pt>
                <c:pt idx="23">
                  <c:v>3.0909090909090907E-2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FE2-FF48-A4E2-76199EFB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05175160"/>
        <c:axId val="305170064"/>
      </c:lineChart>
      <c:catAx>
        <c:axId val="30517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70064"/>
        <c:crosses val="autoZero"/>
        <c:auto val="1"/>
        <c:lblAlgn val="ctr"/>
        <c:lblOffset val="100"/>
        <c:noMultiLvlLbl val="0"/>
      </c:catAx>
      <c:valAx>
        <c:axId val="305170064"/>
        <c:scaling>
          <c:orientation val="minMax"/>
          <c:max val="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75160"/>
        <c:crosses val="autoZero"/>
        <c:crossBetween val="between"/>
        <c:majorUnit val="1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599518810148754E-2"/>
          <c:y val="0.26281641878098583"/>
          <c:w val="0.88495603674540679"/>
          <c:h val="0.60995734908136456"/>
        </c:manualLayout>
      </c:layout>
      <c:lineChart>
        <c:grouping val="stacked"/>
        <c:varyColors val="0"/>
        <c:ser>
          <c:idx val="0"/>
          <c:order val="0"/>
          <c:tx>
            <c:strRef>
              <c:f>'XRF Cox'!$D$70</c:f>
              <c:strCache>
                <c:ptCount val="1"/>
                <c:pt idx="0">
                  <c:v>SIO4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'XRF Cox'!$D$71:$D$94</c:f>
              <c:numCache>
                <c:formatCode>General</c:formatCode>
                <c:ptCount val="24"/>
                <c:pt idx="0">
                  <c:v>1.0716560509554141</c:v>
                </c:pt>
                <c:pt idx="1">
                  <c:v>1.1178343949044587</c:v>
                </c:pt>
                <c:pt idx="2">
                  <c:v>1.1449044585987262</c:v>
                </c:pt>
                <c:pt idx="3">
                  <c:v>1.1624203821656052</c:v>
                </c:pt>
                <c:pt idx="4">
                  <c:v>1.1640127388535031</c:v>
                </c:pt>
                <c:pt idx="5">
                  <c:v>1.1496815286624205</c:v>
                </c:pt>
                <c:pt idx="6">
                  <c:v>1.1337579617834397</c:v>
                </c:pt>
                <c:pt idx="7">
                  <c:v>1.1242038216560508</c:v>
                </c:pt>
                <c:pt idx="8">
                  <c:v>1.1687898089171975</c:v>
                </c:pt>
                <c:pt idx="9">
                  <c:v>1.1560509554140126</c:v>
                </c:pt>
                <c:pt idx="10">
                  <c:v>1.1385350318471339</c:v>
                </c:pt>
                <c:pt idx="11">
                  <c:v>1.1640127388535031</c:v>
                </c:pt>
                <c:pt idx="12">
                  <c:v>1.0429936305732486</c:v>
                </c:pt>
                <c:pt idx="13">
                  <c:v>1.1019108280254779</c:v>
                </c:pt>
                <c:pt idx="14">
                  <c:v>1.1305732484076434</c:v>
                </c:pt>
                <c:pt idx="15">
                  <c:v>1.1449044585987262</c:v>
                </c:pt>
                <c:pt idx="16">
                  <c:v>1.1242038216560508</c:v>
                </c:pt>
                <c:pt idx="17">
                  <c:v>1.0780254777070064</c:v>
                </c:pt>
                <c:pt idx="18">
                  <c:v>1.1194267515923566</c:v>
                </c:pt>
                <c:pt idx="19">
                  <c:v>1.1958598726114649</c:v>
                </c:pt>
                <c:pt idx="20">
                  <c:v>1.0732484076433122</c:v>
                </c:pt>
                <c:pt idx="21">
                  <c:v>1.1321656050955413</c:v>
                </c:pt>
                <c:pt idx="22">
                  <c:v>1.1974522292993632</c:v>
                </c:pt>
                <c:pt idx="23">
                  <c:v>1.1910828025477707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9-514E-9E58-481031626C7B}"/>
            </c:ext>
          </c:extLst>
        </c:ser>
        <c:ser>
          <c:idx val="1"/>
          <c:order val="1"/>
          <c:tx>
            <c:strRef>
              <c:f>'XRF Cox'!$E$70</c:f>
              <c:strCache>
                <c:ptCount val="1"/>
                <c:pt idx="0">
                  <c:v>Al2O3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'XRF Cox'!$E$71:$E$94</c:f>
              <c:numCache>
                <c:formatCode>General</c:formatCode>
                <c:ptCount val="24"/>
                <c:pt idx="0">
                  <c:v>1.0526315789473684</c:v>
                </c:pt>
                <c:pt idx="1">
                  <c:v>1.4276315789473684</c:v>
                </c:pt>
                <c:pt idx="2">
                  <c:v>1.0263157894736843</c:v>
                </c:pt>
                <c:pt idx="3">
                  <c:v>1.3289473684210527</c:v>
                </c:pt>
                <c:pt idx="4">
                  <c:v>1.6315789473684212</c:v>
                </c:pt>
                <c:pt idx="5">
                  <c:v>1.2828947368421053</c:v>
                </c:pt>
                <c:pt idx="6">
                  <c:v>1.263157894736842</c:v>
                </c:pt>
                <c:pt idx="7">
                  <c:v>1.4605263157894737</c:v>
                </c:pt>
                <c:pt idx="8">
                  <c:v>1.4539473684210529</c:v>
                </c:pt>
                <c:pt idx="9">
                  <c:v>1.1907894736842106</c:v>
                </c:pt>
                <c:pt idx="10">
                  <c:v>1.5000000000000002</c:v>
                </c:pt>
                <c:pt idx="11">
                  <c:v>1.4671052631578949</c:v>
                </c:pt>
                <c:pt idx="12">
                  <c:v>1.2039473684210527</c:v>
                </c:pt>
                <c:pt idx="13">
                  <c:v>1.4144736842105263</c:v>
                </c:pt>
                <c:pt idx="14">
                  <c:v>1.1578947368421053</c:v>
                </c:pt>
                <c:pt idx="15">
                  <c:v>1.5131578947368423</c:v>
                </c:pt>
                <c:pt idx="16">
                  <c:v>1.3157894736842106</c:v>
                </c:pt>
                <c:pt idx="17">
                  <c:v>1.2894736842105265</c:v>
                </c:pt>
                <c:pt idx="18">
                  <c:v>1.1710526315789476</c:v>
                </c:pt>
                <c:pt idx="19">
                  <c:v>1.5197368421052633</c:v>
                </c:pt>
                <c:pt idx="20">
                  <c:v>1.3026315789473686</c:v>
                </c:pt>
                <c:pt idx="21">
                  <c:v>1.4078947368421053</c:v>
                </c:pt>
                <c:pt idx="22">
                  <c:v>1.3355263157894739</c:v>
                </c:pt>
                <c:pt idx="23">
                  <c:v>1.486842105263158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9-514E-9E58-481031626C7B}"/>
            </c:ext>
          </c:extLst>
        </c:ser>
        <c:ser>
          <c:idx val="2"/>
          <c:order val="2"/>
          <c:tx>
            <c:strRef>
              <c:f>'XRF Cox'!$F$70</c:f>
              <c:strCache>
                <c:ptCount val="1"/>
                <c:pt idx="0">
                  <c:v>CaO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'XRF Cox'!$F$71:$F$94</c:f>
              <c:numCache>
                <c:formatCode>General</c:formatCode>
                <c:ptCount val="24"/>
                <c:pt idx="0">
                  <c:v>0.16904761904761903</c:v>
                </c:pt>
                <c:pt idx="1">
                  <c:v>0.1138095238095238</c:v>
                </c:pt>
                <c:pt idx="2">
                  <c:v>0.21023809523809522</c:v>
                </c:pt>
                <c:pt idx="3">
                  <c:v>7.1428571428571425E-2</c:v>
                </c:pt>
                <c:pt idx="4">
                  <c:v>7.5404761904761891E-2</c:v>
                </c:pt>
                <c:pt idx="5">
                  <c:v>0.12357142857142857</c:v>
                </c:pt>
                <c:pt idx="6">
                  <c:v>0.24523809523809523</c:v>
                </c:pt>
                <c:pt idx="7">
                  <c:v>0.12023809523809523</c:v>
                </c:pt>
                <c:pt idx="8">
                  <c:v>2.8571428571428571E-2</c:v>
                </c:pt>
                <c:pt idx="9">
                  <c:v>9.9047619047619037E-2</c:v>
                </c:pt>
                <c:pt idx="10">
                  <c:v>3.8809523809523808E-2</c:v>
                </c:pt>
                <c:pt idx="11">
                  <c:v>1.6309523809523808E-2</c:v>
                </c:pt>
                <c:pt idx="12">
                  <c:v>0.40952380952380951</c:v>
                </c:pt>
                <c:pt idx="13">
                  <c:v>0.12261904761904761</c:v>
                </c:pt>
                <c:pt idx="14">
                  <c:v>0.22285714285714286</c:v>
                </c:pt>
                <c:pt idx="15">
                  <c:v>5.8857142857142858E-2</c:v>
                </c:pt>
                <c:pt idx="16">
                  <c:v>0.17190476190476189</c:v>
                </c:pt>
                <c:pt idx="17">
                  <c:v>0.28095238095238095</c:v>
                </c:pt>
                <c:pt idx="18">
                  <c:v>0.11809523809523809</c:v>
                </c:pt>
                <c:pt idx="19">
                  <c:v>2.4140476190476188E-2</c:v>
                </c:pt>
                <c:pt idx="20">
                  <c:v>0.26190476190476192</c:v>
                </c:pt>
                <c:pt idx="21">
                  <c:v>0.12428571428571429</c:v>
                </c:pt>
                <c:pt idx="22">
                  <c:v>1.1404761904761904E-2</c:v>
                </c:pt>
                <c:pt idx="23">
                  <c:v>5.0523809523809519E-2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59-514E-9E58-481031626C7B}"/>
            </c:ext>
          </c:extLst>
        </c:ser>
        <c:ser>
          <c:idx val="3"/>
          <c:order val="3"/>
          <c:tx>
            <c:strRef>
              <c:f>'XRF Cox'!$G$70</c:f>
              <c:strCache>
                <c:ptCount val="1"/>
                <c:pt idx="0">
                  <c:v>Fe2O3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'XRF Cox'!$G$71:$G$94</c:f>
              <c:numCache>
                <c:formatCode>General</c:formatCode>
                <c:ptCount val="24"/>
                <c:pt idx="0">
                  <c:v>0.95333333333333337</c:v>
                </c:pt>
                <c:pt idx="1">
                  <c:v>0.85777777777777775</c:v>
                </c:pt>
                <c:pt idx="2">
                  <c:v>0.9866666666666668</c:v>
                </c:pt>
                <c:pt idx="3">
                  <c:v>0.55555555555555558</c:v>
                </c:pt>
                <c:pt idx="4">
                  <c:v>0.13044444444444445</c:v>
                </c:pt>
                <c:pt idx="5">
                  <c:v>0.76666666666666672</c:v>
                </c:pt>
                <c:pt idx="6">
                  <c:v>0.82444444444444442</c:v>
                </c:pt>
                <c:pt idx="7">
                  <c:v>0.61111111111111116</c:v>
                </c:pt>
                <c:pt idx="8">
                  <c:v>0.94599999999999995</c:v>
                </c:pt>
                <c:pt idx="9">
                  <c:v>0.86888888888888893</c:v>
                </c:pt>
                <c:pt idx="10">
                  <c:v>0.66666666666666663</c:v>
                </c:pt>
                <c:pt idx="11">
                  <c:v>0.42666666666666664</c:v>
                </c:pt>
                <c:pt idx="12">
                  <c:v>1.1644444444444444</c:v>
                </c:pt>
                <c:pt idx="13">
                  <c:v>0.46222222222222226</c:v>
                </c:pt>
                <c:pt idx="14">
                  <c:v>1.0777777777777777</c:v>
                </c:pt>
                <c:pt idx="15">
                  <c:v>0.49555555555555553</c:v>
                </c:pt>
                <c:pt idx="16">
                  <c:v>0.88444444444444448</c:v>
                </c:pt>
                <c:pt idx="17">
                  <c:v>1.3355555555555556</c:v>
                </c:pt>
                <c:pt idx="18">
                  <c:v>1.1066666666666667</c:v>
                </c:pt>
                <c:pt idx="19">
                  <c:v>8.1777777777777783E-2</c:v>
                </c:pt>
                <c:pt idx="20">
                  <c:v>1.1444444444444446</c:v>
                </c:pt>
                <c:pt idx="21">
                  <c:v>0.61333333333333329</c:v>
                </c:pt>
                <c:pt idx="22">
                  <c:v>0.29555555555555557</c:v>
                </c:pt>
                <c:pt idx="23">
                  <c:v>0.10555555555555556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59-514E-9E58-481031626C7B}"/>
            </c:ext>
          </c:extLst>
        </c:ser>
        <c:ser>
          <c:idx val="4"/>
          <c:order val="4"/>
          <c:tx>
            <c:strRef>
              <c:f>'XRF Cox'!$H$70</c:f>
              <c:strCache>
                <c:ptCount val="1"/>
                <c:pt idx="0">
                  <c:v>K2O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'XRF Cox'!$H$71:$H$94</c:f>
              <c:numCache>
                <c:formatCode>General</c:formatCode>
                <c:ptCount val="24"/>
                <c:pt idx="0">
                  <c:v>0.6470588235294118</c:v>
                </c:pt>
                <c:pt idx="1">
                  <c:v>0.62352941176470589</c:v>
                </c:pt>
                <c:pt idx="2">
                  <c:v>0.75882352941176479</c:v>
                </c:pt>
                <c:pt idx="3">
                  <c:v>0.37647058823529411</c:v>
                </c:pt>
                <c:pt idx="4">
                  <c:v>9.8235294117647073E-2</c:v>
                </c:pt>
                <c:pt idx="5">
                  <c:v>0.57352941176470584</c:v>
                </c:pt>
                <c:pt idx="6">
                  <c:v>0.7</c:v>
                </c:pt>
                <c:pt idx="7">
                  <c:v>0.4264705882352941</c:v>
                </c:pt>
                <c:pt idx="8">
                  <c:v>0.19382352941176473</c:v>
                </c:pt>
                <c:pt idx="9">
                  <c:v>0.65294117647058836</c:v>
                </c:pt>
                <c:pt idx="10">
                  <c:v>0.24088235294117646</c:v>
                </c:pt>
                <c:pt idx="11">
                  <c:v>0.29411764705882354</c:v>
                </c:pt>
                <c:pt idx="12">
                  <c:v>0.70882352941176474</c:v>
                </c:pt>
                <c:pt idx="13">
                  <c:v>0.94705882352941184</c:v>
                </c:pt>
                <c:pt idx="14">
                  <c:v>0.87647058823529411</c:v>
                </c:pt>
                <c:pt idx="15">
                  <c:v>0.38823529411764707</c:v>
                </c:pt>
                <c:pt idx="16">
                  <c:v>0.80588235294117661</c:v>
                </c:pt>
                <c:pt idx="17">
                  <c:v>0.74705882352941178</c:v>
                </c:pt>
                <c:pt idx="18">
                  <c:v>0.80882352941176472</c:v>
                </c:pt>
                <c:pt idx="19">
                  <c:v>0.11264705882352942</c:v>
                </c:pt>
                <c:pt idx="20">
                  <c:v>0.96470588235294119</c:v>
                </c:pt>
                <c:pt idx="21">
                  <c:v>0.44705882352941179</c:v>
                </c:pt>
                <c:pt idx="22">
                  <c:v>0.2461764705882353</c:v>
                </c:pt>
                <c:pt idx="23">
                  <c:v>0.11970588235294118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59-514E-9E58-481031626C7B}"/>
            </c:ext>
          </c:extLst>
        </c:ser>
        <c:ser>
          <c:idx val="5"/>
          <c:order val="5"/>
          <c:tx>
            <c:strRef>
              <c:f>'XRF Cox'!$I$70</c:f>
              <c:strCache>
                <c:ptCount val="1"/>
                <c:pt idx="0">
                  <c:v>MgO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'XRF Cox'!$I$71:$I$94</c:f>
              <c:numCache>
                <c:formatCode>General</c:formatCode>
                <c:ptCount val="24"/>
                <c:pt idx="0">
                  <c:v>0.58636363636363631</c:v>
                </c:pt>
                <c:pt idx="1">
                  <c:v>0.47272727272727272</c:v>
                </c:pt>
                <c:pt idx="2">
                  <c:v>0.65454545454545443</c:v>
                </c:pt>
                <c:pt idx="3">
                  <c:v>0.71818181818181814</c:v>
                </c:pt>
                <c:pt idx="4">
                  <c:v>0.40909090909090906</c:v>
                </c:pt>
                <c:pt idx="5">
                  <c:v>0.63181818181818172</c:v>
                </c:pt>
                <c:pt idx="6">
                  <c:v>0.6</c:v>
                </c:pt>
                <c:pt idx="7">
                  <c:v>0.79545454545454541</c:v>
                </c:pt>
                <c:pt idx="8">
                  <c:v>0.31863636363636361</c:v>
                </c:pt>
                <c:pt idx="9">
                  <c:v>0.47272727272727272</c:v>
                </c:pt>
                <c:pt idx="10">
                  <c:v>0.6</c:v>
                </c:pt>
                <c:pt idx="11">
                  <c:v>0.48636363636363633</c:v>
                </c:pt>
                <c:pt idx="12">
                  <c:v>0.40818181818181815</c:v>
                </c:pt>
                <c:pt idx="13">
                  <c:v>0.78636363636363626</c:v>
                </c:pt>
                <c:pt idx="14">
                  <c:v>0.44590909090909087</c:v>
                </c:pt>
                <c:pt idx="15">
                  <c:v>0.36454545454545456</c:v>
                </c:pt>
                <c:pt idx="16">
                  <c:v>0.35136363636363632</c:v>
                </c:pt>
                <c:pt idx="17">
                  <c:v>0.73636363636363633</c:v>
                </c:pt>
                <c:pt idx="18">
                  <c:v>0.45909090909090905</c:v>
                </c:pt>
                <c:pt idx="19">
                  <c:v>0.31545454545454543</c:v>
                </c:pt>
                <c:pt idx="20">
                  <c:v>0.8136363636363636</c:v>
                </c:pt>
                <c:pt idx="21">
                  <c:v>0.86818181818181805</c:v>
                </c:pt>
                <c:pt idx="22">
                  <c:v>0.32909090909090905</c:v>
                </c:pt>
                <c:pt idx="23">
                  <c:v>0.42318181818181816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59-514E-9E58-481031626C7B}"/>
            </c:ext>
          </c:extLst>
        </c:ser>
        <c:ser>
          <c:idx val="6"/>
          <c:order val="6"/>
          <c:tx>
            <c:strRef>
              <c:f>'XRF Cox'!$J$70</c:f>
              <c:strCache>
                <c:ptCount val="1"/>
                <c:pt idx="0">
                  <c:v>Na2O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Cox'!$J$71:$J$94</c:f>
              <c:numCache>
                <c:formatCode>General</c:formatCode>
                <c:ptCount val="24"/>
                <c:pt idx="0">
                  <c:v>0.3923076923076923</c:v>
                </c:pt>
                <c:pt idx="1">
                  <c:v>0.38461538461538464</c:v>
                </c:pt>
                <c:pt idx="2">
                  <c:v>0.41538461538461541</c:v>
                </c:pt>
                <c:pt idx="3">
                  <c:v>0.30769230769230771</c:v>
                </c:pt>
                <c:pt idx="4">
                  <c:v>3.0769230769230767E-2</c:v>
                </c:pt>
                <c:pt idx="5">
                  <c:v>0.32051282051282054</c:v>
                </c:pt>
                <c:pt idx="6">
                  <c:v>0.37179487179487181</c:v>
                </c:pt>
                <c:pt idx="7">
                  <c:v>0.30769230769230771</c:v>
                </c:pt>
                <c:pt idx="8">
                  <c:v>0.14102564102564105</c:v>
                </c:pt>
                <c:pt idx="9">
                  <c:v>0.34358974358974359</c:v>
                </c:pt>
                <c:pt idx="10">
                  <c:v>0.16666666666666669</c:v>
                </c:pt>
                <c:pt idx="11">
                  <c:v>0.2</c:v>
                </c:pt>
                <c:pt idx="12">
                  <c:v>0.42307692307692307</c:v>
                </c:pt>
                <c:pt idx="13">
                  <c:v>0.49230769230769228</c:v>
                </c:pt>
                <c:pt idx="14">
                  <c:v>0.4966666666666667</c:v>
                </c:pt>
                <c:pt idx="15">
                  <c:v>0.22000000000000003</c:v>
                </c:pt>
                <c:pt idx="16">
                  <c:v>0.45666666666666672</c:v>
                </c:pt>
                <c:pt idx="17">
                  <c:v>0.42333333333333334</c:v>
                </c:pt>
                <c:pt idx="18">
                  <c:v>0.45833333333333337</c:v>
                </c:pt>
                <c:pt idx="19">
                  <c:v>6.3833333333333339E-2</c:v>
                </c:pt>
                <c:pt idx="20">
                  <c:v>0.54666666666666675</c:v>
                </c:pt>
                <c:pt idx="21">
                  <c:v>0.33846153846153848</c:v>
                </c:pt>
                <c:pt idx="22">
                  <c:v>0.13950000000000001</c:v>
                </c:pt>
                <c:pt idx="23">
                  <c:v>6.7833333333333343E-2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59-514E-9E58-481031626C7B}"/>
            </c:ext>
          </c:extLst>
        </c:ser>
        <c:ser>
          <c:idx val="7"/>
          <c:order val="7"/>
          <c:tx>
            <c:strRef>
              <c:f>'XRF Cox'!$K$70</c:f>
              <c:strCache>
                <c:ptCount val="1"/>
                <c:pt idx="0">
                  <c:v>TiO2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Cox'!$K$71:$K$94</c:f>
              <c:numCache>
                <c:formatCode>General</c:formatCode>
                <c:ptCount val="24"/>
                <c:pt idx="0">
                  <c:v>0.86599999999999999</c:v>
                </c:pt>
                <c:pt idx="1">
                  <c:v>1.266</c:v>
                </c:pt>
                <c:pt idx="2">
                  <c:v>1.288</c:v>
                </c:pt>
                <c:pt idx="3">
                  <c:v>0.76800000000000002</c:v>
                </c:pt>
                <c:pt idx="4">
                  <c:v>0.23</c:v>
                </c:pt>
                <c:pt idx="5">
                  <c:v>1.0960000000000001</c:v>
                </c:pt>
                <c:pt idx="6">
                  <c:v>1.3</c:v>
                </c:pt>
                <c:pt idx="7">
                  <c:v>0.83399999999999996</c:v>
                </c:pt>
                <c:pt idx="8">
                  <c:v>0.15720000000000001</c:v>
                </c:pt>
                <c:pt idx="9">
                  <c:v>1.3520000000000001</c:v>
                </c:pt>
                <c:pt idx="10">
                  <c:v>0.41599999999999998</c:v>
                </c:pt>
                <c:pt idx="11">
                  <c:v>0.59799999999999998</c:v>
                </c:pt>
                <c:pt idx="12">
                  <c:v>1.25</c:v>
                </c:pt>
                <c:pt idx="13">
                  <c:v>1.79</c:v>
                </c:pt>
                <c:pt idx="14">
                  <c:v>1.6279999999999999</c:v>
                </c:pt>
                <c:pt idx="15">
                  <c:v>0.86399999999999999</c:v>
                </c:pt>
                <c:pt idx="16">
                  <c:v>1.5880000000000001</c:v>
                </c:pt>
                <c:pt idx="17">
                  <c:v>1.5980000000000001</c:v>
                </c:pt>
                <c:pt idx="18">
                  <c:v>1.802</c:v>
                </c:pt>
                <c:pt idx="19">
                  <c:v>0.23599999999999999</c:v>
                </c:pt>
                <c:pt idx="20">
                  <c:v>1.9419999999999999</c:v>
                </c:pt>
                <c:pt idx="21">
                  <c:v>0.89200000000000002</c:v>
                </c:pt>
                <c:pt idx="22">
                  <c:v>0.498</c:v>
                </c:pt>
                <c:pt idx="23">
                  <c:v>0.23799999999999999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59-514E-9E58-481031626C7B}"/>
            </c:ext>
          </c:extLst>
        </c:ser>
        <c:ser>
          <c:idx val="8"/>
          <c:order val="8"/>
          <c:tx>
            <c:strRef>
              <c:f>'XRF Cox'!$N$70</c:f>
              <c:strCache>
                <c:ptCount val="1"/>
                <c:pt idx="0">
                  <c:v>P2O5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Cox'!$N$71:$N$94</c:f>
              <c:numCache>
                <c:formatCode>General</c:formatCode>
                <c:ptCount val="24"/>
                <c:pt idx="0">
                  <c:v>1.0058823529411764</c:v>
                </c:pt>
                <c:pt idx="1">
                  <c:v>0.77647058823529413</c:v>
                </c:pt>
                <c:pt idx="2">
                  <c:v>0.93529411764705872</c:v>
                </c:pt>
                <c:pt idx="3">
                  <c:v>0.78235294117647058</c:v>
                </c:pt>
                <c:pt idx="4">
                  <c:v>0.53235294117647058</c:v>
                </c:pt>
                <c:pt idx="5">
                  <c:v>1.088235294117647</c:v>
                </c:pt>
                <c:pt idx="6">
                  <c:v>1.2705882352941176</c:v>
                </c:pt>
                <c:pt idx="7">
                  <c:v>0.84705882352941164</c:v>
                </c:pt>
                <c:pt idx="8">
                  <c:v>0.57117647058823529</c:v>
                </c:pt>
                <c:pt idx="9">
                  <c:v>0.87058823529411755</c:v>
                </c:pt>
                <c:pt idx="10">
                  <c:v>0.92352941176470582</c:v>
                </c:pt>
                <c:pt idx="11">
                  <c:v>0.78235294117647058</c:v>
                </c:pt>
                <c:pt idx="12">
                  <c:v>2.8705882352941172</c:v>
                </c:pt>
                <c:pt idx="13">
                  <c:v>0.69411764705882339</c:v>
                </c:pt>
                <c:pt idx="14">
                  <c:v>1</c:v>
                </c:pt>
                <c:pt idx="15">
                  <c:v>0.48176470588235293</c:v>
                </c:pt>
                <c:pt idx="16">
                  <c:v>0.93529411764705872</c:v>
                </c:pt>
                <c:pt idx="17">
                  <c:v>1.5411764705882351</c:v>
                </c:pt>
                <c:pt idx="18">
                  <c:v>0.75882352941176467</c:v>
                </c:pt>
                <c:pt idx="19">
                  <c:v>0.52294117647058824</c:v>
                </c:pt>
                <c:pt idx="20">
                  <c:v>0.84705882352941164</c:v>
                </c:pt>
                <c:pt idx="21">
                  <c:v>0.96470588235294119</c:v>
                </c:pt>
                <c:pt idx="22">
                  <c:v>0.55705882352941172</c:v>
                </c:pt>
                <c:pt idx="23">
                  <c:v>0.53529411764705881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59-514E-9E58-481031626C7B}"/>
            </c:ext>
          </c:extLst>
        </c:ser>
        <c:ser>
          <c:idx val="9"/>
          <c:order val="9"/>
          <c:tx>
            <c:strRef>
              <c:f>'XRF Cox'!$O$70</c:f>
              <c:strCache>
                <c:ptCount val="1"/>
                <c:pt idx="0">
                  <c:v>MnO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'XRF Cox'!$O$71:$O$94</c:f>
              <c:numCache>
                <c:formatCode>General</c:formatCode>
                <c:ptCount val="24"/>
                <c:pt idx="0">
                  <c:v>0.43099999999999999</c:v>
                </c:pt>
                <c:pt idx="1">
                  <c:v>0.70899999999999996</c:v>
                </c:pt>
                <c:pt idx="2">
                  <c:v>0.23199999999999998</c:v>
                </c:pt>
                <c:pt idx="3">
                  <c:v>4.3999999999999997E-2</c:v>
                </c:pt>
                <c:pt idx="4">
                  <c:v>1.0399999999999998</c:v>
                </c:pt>
                <c:pt idx="5">
                  <c:v>0.62899999999999989</c:v>
                </c:pt>
                <c:pt idx="6">
                  <c:v>0.22800000000000001</c:v>
                </c:pt>
                <c:pt idx="7">
                  <c:v>0.92787499999999978</c:v>
                </c:pt>
                <c:pt idx="8">
                  <c:v>0.69199999999999995</c:v>
                </c:pt>
                <c:pt idx="9">
                  <c:v>8.7999999999999995E-2</c:v>
                </c:pt>
                <c:pt idx="10">
                  <c:v>0.28699999999999998</c:v>
                </c:pt>
                <c:pt idx="11">
                  <c:v>12.799999999999999</c:v>
                </c:pt>
                <c:pt idx="12">
                  <c:v>0.49</c:v>
                </c:pt>
                <c:pt idx="13">
                  <c:v>0.44400000000000001</c:v>
                </c:pt>
                <c:pt idx="14">
                  <c:v>0.193</c:v>
                </c:pt>
                <c:pt idx="15">
                  <c:v>0.40399999999999997</c:v>
                </c:pt>
                <c:pt idx="16">
                  <c:v>0.73599999999999999</c:v>
                </c:pt>
                <c:pt idx="17">
                  <c:v>0.85499999999999998</c:v>
                </c:pt>
                <c:pt idx="18">
                  <c:v>2.7E-2</c:v>
                </c:pt>
                <c:pt idx="19">
                  <c:v>0.57699999999999996</c:v>
                </c:pt>
                <c:pt idx="20">
                  <c:v>0.31699999999999995</c:v>
                </c:pt>
                <c:pt idx="21">
                  <c:v>9.2999999999999985E-2</c:v>
                </c:pt>
                <c:pt idx="22">
                  <c:v>3.3999999999999996E-2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59-514E-9E58-481031626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175944"/>
        <c:axId val="308107736"/>
      </c:lineChart>
      <c:catAx>
        <c:axId val="305175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107736"/>
        <c:crosses val="autoZero"/>
        <c:auto val="0"/>
        <c:lblAlgn val="ctr"/>
        <c:lblOffset val="100"/>
        <c:noMultiLvlLbl val="0"/>
      </c:catAx>
      <c:valAx>
        <c:axId val="3081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7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07210194837955"/>
          <c:y val="6.7093503937007873E-2"/>
          <c:w val="0.85004812843318989"/>
          <c:h val="0.79536122047244096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'XRF Cox'!$K$4:$K$27</c:f>
              <c:strCache>
                <c:ptCount val="24"/>
                <c:pt idx="0">
                  <c:v>0.04</c:v>
                </c:pt>
                <c:pt idx="1">
                  <c:v>0.07</c:v>
                </c:pt>
                <c:pt idx="2">
                  <c:v>0.02</c:v>
                </c:pt>
                <c:pt idx="3">
                  <c:v>0.00</c:v>
                </c:pt>
                <c:pt idx="4">
                  <c:v>0.10</c:v>
                </c:pt>
                <c:pt idx="5">
                  <c:v>0.06</c:v>
                </c:pt>
                <c:pt idx="6">
                  <c:v>0.02</c:v>
                </c:pt>
                <c:pt idx="7">
                  <c:v>0.09</c:v>
                </c:pt>
                <c:pt idx="8">
                  <c:v>0.07</c:v>
                </c:pt>
                <c:pt idx="9">
                  <c:v>0.01</c:v>
                </c:pt>
                <c:pt idx="10">
                  <c:v>0.03</c:v>
                </c:pt>
                <c:pt idx="11">
                  <c:v>1.28</c:v>
                </c:pt>
                <c:pt idx="12">
                  <c:v>0.05</c:v>
                </c:pt>
                <c:pt idx="13">
                  <c:v>0.04</c:v>
                </c:pt>
                <c:pt idx="14">
                  <c:v>0.02</c:v>
                </c:pt>
                <c:pt idx="15">
                  <c:v>0.04</c:v>
                </c:pt>
                <c:pt idx="16">
                  <c:v>0.07</c:v>
                </c:pt>
                <c:pt idx="17">
                  <c:v>0.09</c:v>
                </c:pt>
                <c:pt idx="18">
                  <c:v>0.00</c:v>
                </c:pt>
                <c:pt idx="19">
                  <c:v>0.06</c:v>
                </c:pt>
                <c:pt idx="20">
                  <c:v>0.03</c:v>
                </c:pt>
                <c:pt idx="21">
                  <c:v>0.01</c:v>
                </c:pt>
                <c:pt idx="22">
                  <c:v>0.00</c:v>
                </c:pt>
                <c:pt idx="23">
                  <c:v>maan</c:v>
                </c:pt>
              </c:strCache>
            </c:strRef>
          </c:cat>
          <c:val>
            <c:numRef>
              <c:f>'XRF Cox'!$N$4:$N$27</c:f>
              <c:numCache>
                <c:formatCode>0.00</c:formatCode>
                <c:ptCount val="24"/>
                <c:pt idx="0">
                  <c:v>84.115047678114578</c:v>
                </c:pt>
                <c:pt idx="1">
                  <c:v>75.424261470773104</c:v>
                </c:pt>
                <c:pt idx="2">
                  <c:v>87.90252393385552</c:v>
                </c:pt>
                <c:pt idx="3">
                  <c:v>96.986003511831896</c:v>
                </c:pt>
                <c:pt idx="4">
                  <c:v>83.982945001938077</c:v>
                </c:pt>
                <c:pt idx="5">
                  <c:v>79.800498753117211</c:v>
                </c:pt>
                <c:pt idx="6">
                  <c:v>87.556694931966092</c:v>
                </c:pt>
                <c:pt idx="7">
                  <c:v>94.327542788851432</c:v>
                </c:pt>
                <c:pt idx="8">
                  <c:v>81.989490849791636</c:v>
                </c:pt>
                <c:pt idx="9">
                  <c:v>93.320235756385074</c:v>
                </c:pt>
                <c:pt idx="10">
                  <c:v>92.345280245149794</c:v>
                </c:pt>
                <c:pt idx="11">
                  <c:v>75.996677740863788</c:v>
                </c:pt>
                <c:pt idx="12">
                  <c:v>79.175105873688082</c:v>
                </c:pt>
                <c:pt idx="13">
                  <c:v>75.04370443013687</c:v>
                </c:pt>
                <c:pt idx="14">
                  <c:v>90.461431965136953</c:v>
                </c:pt>
                <c:pt idx="15">
                  <c:v>79.229885512815429</c:v>
                </c:pt>
                <c:pt idx="16">
                  <c:v>78.491049617556371</c:v>
                </c:pt>
                <c:pt idx="17">
                  <c:v>77.955635360325843</c:v>
                </c:pt>
                <c:pt idx="18">
                  <c:v>96.92304981173433</c:v>
                </c:pt>
                <c:pt idx="19">
                  <c:v>75.250836120401331</c:v>
                </c:pt>
                <c:pt idx="20">
                  <c:v>86.422744527905664</c:v>
                </c:pt>
                <c:pt idx="21">
                  <c:v>93.423750342285302</c:v>
                </c:pt>
                <c:pt idx="22">
                  <c:v>96.23675946132964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8-3940-93A5-A3832A16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8108912"/>
        <c:axId val="308109304"/>
      </c:barChart>
      <c:catAx>
        <c:axId val="308108912"/>
        <c:scaling>
          <c:orientation val="minMax"/>
        </c:scaling>
        <c:delete val="0"/>
        <c:axPos val="b"/>
        <c:numFmt formatCode="#,##0.0" sourceLinked="0"/>
        <c:majorTickMark val="out"/>
        <c:minorTickMark val="none"/>
        <c:tickLblPos val="nextTo"/>
        <c:crossAx val="308109304"/>
        <c:crosses val="autoZero"/>
        <c:auto val="1"/>
        <c:lblAlgn val="ctr"/>
        <c:lblOffset val="100"/>
        <c:noMultiLvlLbl val="0"/>
      </c:catAx>
      <c:valAx>
        <c:axId val="308109304"/>
        <c:scaling>
          <c:orientation val="minMax"/>
          <c:max val="8"/>
          <c:min val="0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308108912"/>
        <c:crosses val="autoZero"/>
        <c:crossBetween val="between"/>
        <c:majorUnit val="20"/>
        <c:minorUnit val="4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30</xdr:row>
      <xdr:rowOff>57150</xdr:rowOff>
    </xdr:from>
    <xdr:to>
      <xdr:col>10</xdr:col>
      <xdr:colOff>47625</xdr:colOff>
      <xdr:row>44</xdr:row>
      <xdr:rowOff>0</xdr:rowOff>
    </xdr:to>
    <xdr:graphicFrame macro="">
      <xdr:nvGraphicFramePr>
        <xdr:cNvPr id="1343" name="Chart 6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30</xdr:row>
      <xdr:rowOff>171450</xdr:rowOff>
    </xdr:from>
    <xdr:to>
      <xdr:col>10</xdr:col>
      <xdr:colOff>66675</xdr:colOff>
      <xdr:row>44</xdr:row>
      <xdr:rowOff>114300</xdr:rowOff>
    </xdr:to>
    <xdr:graphicFrame macro="">
      <xdr:nvGraphicFramePr>
        <xdr:cNvPr id="1344" name="Chart 2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33</xdr:row>
      <xdr:rowOff>19050</xdr:rowOff>
    </xdr:from>
    <xdr:to>
      <xdr:col>31</xdr:col>
      <xdr:colOff>0</xdr:colOff>
      <xdr:row>46</xdr:row>
      <xdr:rowOff>161925</xdr:rowOff>
    </xdr:to>
    <xdr:graphicFrame macro="">
      <xdr:nvGraphicFramePr>
        <xdr:cNvPr id="1345" name="Chart 3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800100</xdr:colOff>
      <xdr:row>33</xdr:row>
      <xdr:rowOff>19050</xdr:rowOff>
    </xdr:from>
    <xdr:to>
      <xdr:col>31</xdr:col>
      <xdr:colOff>0</xdr:colOff>
      <xdr:row>46</xdr:row>
      <xdr:rowOff>161925</xdr:rowOff>
    </xdr:to>
    <xdr:graphicFrame macro="">
      <xdr:nvGraphicFramePr>
        <xdr:cNvPr id="1346" name="Chart 40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171450</xdr:colOff>
      <xdr:row>84</xdr:row>
      <xdr:rowOff>123825</xdr:rowOff>
    </xdr:from>
    <xdr:to>
      <xdr:col>47</xdr:col>
      <xdr:colOff>552450</xdr:colOff>
      <xdr:row>98</xdr:row>
      <xdr:rowOff>66675</xdr:rowOff>
    </xdr:to>
    <xdr:graphicFrame macro="">
      <xdr:nvGraphicFramePr>
        <xdr:cNvPr id="1347" name="Chart 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285750</xdr:colOff>
      <xdr:row>79</xdr:row>
      <xdr:rowOff>171450</xdr:rowOff>
    </xdr:from>
    <xdr:to>
      <xdr:col>18</xdr:col>
      <xdr:colOff>47625</xdr:colOff>
      <xdr:row>93</xdr:row>
      <xdr:rowOff>114300</xdr:rowOff>
    </xdr:to>
    <xdr:graphicFrame macro="">
      <xdr:nvGraphicFramePr>
        <xdr:cNvPr id="1348" name="Chart 6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133350</xdr:colOff>
      <xdr:row>35</xdr:row>
      <xdr:rowOff>85725</xdr:rowOff>
    </xdr:from>
    <xdr:to>
      <xdr:col>30</xdr:col>
      <xdr:colOff>466726</xdr:colOff>
      <xdr:row>47</xdr:row>
      <xdr:rowOff>95250</xdr:rowOff>
    </xdr:to>
    <xdr:graphicFrame macro="">
      <xdr:nvGraphicFramePr>
        <xdr:cNvPr id="1349" name="Chart 12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0"/>
  <sheetViews>
    <sheetView tabSelected="1" topLeftCell="H7" workbookViewId="0">
      <selection activeCell="M26" sqref="M26"/>
    </sheetView>
  </sheetViews>
  <sheetFormatPr defaultColWidth="10.97265625" defaultRowHeight="15" x14ac:dyDescent="0.2"/>
  <cols>
    <col min="1" max="1" width="8.62890625" style="5" customWidth="1"/>
    <col min="2" max="13" width="5.91796875" style="1" customWidth="1"/>
  </cols>
  <sheetData>
    <row r="1" spans="1:53" ht="20.100000000000001" customHeight="1" x14ac:dyDescent="0.2">
      <c r="A1" s="22" t="s">
        <v>35</v>
      </c>
      <c r="B1" s="21" t="s">
        <v>34</v>
      </c>
      <c r="C1" s="21"/>
      <c r="D1" s="21"/>
      <c r="E1" s="21"/>
      <c r="F1" s="21"/>
      <c r="G1" s="21"/>
      <c r="H1" s="21"/>
      <c r="I1" s="21"/>
      <c r="J1" s="21"/>
      <c r="K1" s="21"/>
      <c r="L1" s="16"/>
      <c r="M1" s="16"/>
    </row>
    <row r="2" spans="1:53" ht="20.100000000000001" customHeight="1" x14ac:dyDescent="0.2">
      <c r="A2" s="23"/>
      <c r="B2" s="2" t="s">
        <v>2</v>
      </c>
      <c r="C2" s="2" t="s">
        <v>1</v>
      </c>
      <c r="D2" s="2" t="s">
        <v>8</v>
      </c>
      <c r="E2" s="2" t="s">
        <v>4</v>
      </c>
      <c r="F2" s="2" t="s">
        <v>0</v>
      </c>
      <c r="G2" s="2" t="s">
        <v>3</v>
      </c>
      <c r="H2" s="2" t="s">
        <v>33</v>
      </c>
      <c r="I2" s="2" t="s">
        <v>5</v>
      </c>
      <c r="J2" s="2" t="s">
        <v>6</v>
      </c>
      <c r="K2" s="2" t="s">
        <v>7</v>
      </c>
      <c r="L2" s="7" t="s">
        <v>68</v>
      </c>
      <c r="M2" s="7" t="s">
        <v>67</v>
      </c>
      <c r="N2" s="7" t="s">
        <v>37</v>
      </c>
      <c r="O2" s="7" t="s">
        <v>36</v>
      </c>
      <c r="P2" s="7"/>
      <c r="Q2" s="7" t="s">
        <v>69</v>
      </c>
      <c r="R2" s="7" t="s">
        <v>70</v>
      </c>
      <c r="S2" s="7"/>
      <c r="T2" s="11" t="s">
        <v>57</v>
      </c>
      <c r="U2" s="11" t="s">
        <v>59</v>
      </c>
      <c r="V2" s="11" t="s">
        <v>61</v>
      </c>
      <c r="W2" s="11" t="s">
        <v>62</v>
      </c>
      <c r="X2" s="11"/>
      <c r="Y2" s="11"/>
      <c r="Z2" s="7"/>
      <c r="AA2" s="7"/>
      <c r="AB2" s="7"/>
      <c r="AC2" s="11" t="s">
        <v>40</v>
      </c>
      <c r="AD2" s="11" t="s">
        <v>41</v>
      </c>
      <c r="AF2" s="9" t="s">
        <v>42</v>
      </c>
      <c r="AG2" s="9" t="s">
        <v>43</v>
      </c>
      <c r="AI2" s="12" t="s">
        <v>45</v>
      </c>
      <c r="AJ2" s="12" t="s">
        <v>46</v>
      </c>
      <c r="AK2" s="12" t="s">
        <v>47</v>
      </c>
      <c r="AL2" s="12"/>
      <c r="AM2" s="12" t="s">
        <v>53</v>
      </c>
      <c r="AN2" s="12" t="s">
        <v>54</v>
      </c>
      <c r="AO2" s="12" t="s">
        <v>55</v>
      </c>
      <c r="AP2" s="12" t="s">
        <v>56</v>
      </c>
      <c r="AQ2" s="14" t="s">
        <v>45</v>
      </c>
      <c r="AR2" s="14" t="s">
        <v>46</v>
      </c>
      <c r="AS2" s="14" t="s">
        <v>47</v>
      </c>
      <c r="AT2" s="20" t="s">
        <v>66</v>
      </c>
      <c r="AU2" s="20"/>
      <c r="AV2" s="20"/>
      <c r="AW2" s="12" t="s">
        <v>48</v>
      </c>
      <c r="AX2" s="12" t="s">
        <v>50</v>
      </c>
      <c r="AZ2" s="12" t="s">
        <v>49</v>
      </c>
      <c r="BA2" s="12" t="s">
        <v>51</v>
      </c>
    </row>
    <row r="3" spans="1:53" ht="20.100000000000001" customHeight="1" x14ac:dyDescent="0.2">
      <c r="A3" s="4" t="s">
        <v>9</v>
      </c>
      <c r="B3" s="6">
        <v>67.3</v>
      </c>
      <c r="C3" s="6">
        <v>16</v>
      </c>
      <c r="D3" s="3">
        <v>4.29</v>
      </c>
      <c r="E3" s="3">
        <v>2.2000000000000002</v>
      </c>
      <c r="F3" s="3">
        <v>1.29</v>
      </c>
      <c r="G3" s="3">
        <v>0.17100000000000001</v>
      </c>
      <c r="H3" s="3">
        <v>1.53</v>
      </c>
      <c r="I3" s="3">
        <v>0.71</v>
      </c>
      <c r="J3" s="3">
        <v>0.433</v>
      </c>
      <c r="K3" s="3">
        <v>0.41099999999999998</v>
      </c>
      <c r="L3" s="7">
        <f>K3/0.11</f>
        <v>3.7363636363636363</v>
      </c>
      <c r="M3" s="7">
        <f>K3/0.1</f>
        <v>4.1099999999999994</v>
      </c>
      <c r="N3" s="8">
        <f>(C3/(C3+I3+H3+E3))*100</f>
        <v>78.277886497064571</v>
      </c>
      <c r="O3">
        <f>((D3+E3+H3+I3+F3+K3)/C3)</f>
        <v>0.65193749999999995</v>
      </c>
      <c r="Q3">
        <f>H3/E3</f>
        <v>0.69545454545454544</v>
      </c>
      <c r="R3">
        <f>B3/D3</f>
        <v>15.687645687645686</v>
      </c>
      <c r="T3" s="13" t="s">
        <v>1</v>
      </c>
      <c r="U3" t="s">
        <v>60</v>
      </c>
      <c r="V3" s="13" t="s">
        <v>4</v>
      </c>
      <c r="W3" s="16"/>
      <c r="X3" s="18" t="s">
        <v>65</v>
      </c>
      <c r="Y3" s="18" t="s">
        <v>64</v>
      </c>
      <c r="Z3" s="18" t="s">
        <v>63</v>
      </c>
      <c r="AA3" s="12"/>
      <c r="AB3" s="12"/>
      <c r="AC3">
        <f>(-1.773*J3)+(0.607*C3)+(0.76*D3)+(-1.5*F3)+(0.616*I3)+(0.509*H3)+(-1.224*E3)+(-9.09)</f>
        <v>-0.29697900000000033</v>
      </c>
      <c r="AD3">
        <f>(0.445*J3)+(0.07*C3)+(-0.25*D3)+(-1.142*F3)+(0.438*I3)+(1.475*H3)+(-1.426*E3)+(-6.861)</f>
        <v>-8.6634649999999986</v>
      </c>
      <c r="AF3">
        <f>(-0.0447*B3)+(-0.972*J3)+(0.008*C3)+(-0.267*D3)+(3.082*K3)+(0.14*F3)+(0.195*I3)+(0.719*H3)+(0.031*E3)+(7.51*G3)</f>
        <v>-0.40838399999999986</v>
      </c>
      <c r="AG3">
        <f>(-0.0421*B3)+(1.988*J3)+(-0.526*C3)+(-0.551*D3)+(2.72*K3)+(0.881*F3)+(-0.907*I3)+(-0.177*H3)+(-1.84*E3)+(7.244*G3)</f>
        <v>-14.221962000000003</v>
      </c>
      <c r="AI3">
        <f>(-0.395*LN(B3))+(0.206*LN(J3))-(0.316*(C3))+(0.16*LN(D3))+(0.246*LN(F3))+(0.368*LN(I3))+(0.073*LN(H3))-(0.342*LN(E3))+(2.266)</f>
        <v>-4.6940403522410161</v>
      </c>
      <c r="AJ3">
        <f>(0.191*LN(B3))-(0.397*LN(J3))+(0.02*(C3))-(0.375*LN(D3))-(0.243*LN(F3))+(0.079*LN(I3))+(0.392*LN(H3))+(0.333*LN(E3))-(0.892)</f>
        <v>0.35846450789495765</v>
      </c>
      <c r="AK3">
        <f>(0.203*LN(B3))+(0.191*LN(J3))+(0.296*(C3))+(0.215*LN(D3))-(0.002*LN(F3))-(0.448*LN(I3))-(0.464*LN(H3))+(0.008*LN(E3))-(1.374)</f>
        <v>4.3316006270117651</v>
      </c>
      <c r="AM3">
        <f>EXP(AI3)</f>
        <v>9.1496435911428333E-3</v>
      </c>
      <c r="AN3">
        <f>EXP(AJ3)</f>
        <v>1.4311302374020298</v>
      </c>
      <c r="AO3">
        <f>EXP(AK3)</f>
        <v>76.065942382476052</v>
      </c>
      <c r="AP3" s="12">
        <f>SUM(AM3:AO3)</f>
        <v>77.506222263469226</v>
      </c>
      <c r="AQ3" s="18">
        <f>AM3/AP3*100</f>
        <v>1.1805043935750313E-2</v>
      </c>
      <c r="AR3" s="18">
        <f>AN3/AP3*100</f>
        <v>1.8464714130139719</v>
      </c>
      <c r="AS3" s="18">
        <f>AO3/AP3*100</f>
        <v>98.141723543050276</v>
      </c>
      <c r="AT3" s="20">
        <f t="shared" ref="AT3:AT26" si="0">SUM(AQ4+AR4+AS4)</f>
        <v>100</v>
      </c>
      <c r="AU3" s="20"/>
      <c r="AV3" s="20"/>
      <c r="AW3">
        <f>(-0.263*LN(J3/B3))+(0.604*LN(C3/B3))+(-1.725*LN(D3/B3))+(0.66*LN(K3/B3))+(2.191*LN(F3/B3))+(0.144*LN(I3/B3))+(-1.304*LN(H3/B3))+(0.054*LN(E3/B3))+(-0.33*LN(G3/B3))+1.588</f>
        <v>0.83279399480105054</v>
      </c>
      <c r="AX3">
        <f>(-1.196*LN(J3/B3))+(1.064*LN(C3/B3))+(-0.303*LN(D3/B3))+(0.436*LN(K3/B3))+(0.838*LN(F3/B3))+(-0.407*LN(I3/B3))+(1.021*LN(H3/B3))+(-1.706*LN(E3/B3))+(-0.126*LN(G3/B3))-1.068</f>
        <v>3.3138509737659461</v>
      </c>
      <c r="AZ3">
        <f>(0.608*LN(J3/B3))+(-1.854*LN(C3/B3))+(0.299*LN(D3/B3))+(-0.55*LN(K3/B3))+(0.12*LN(F3/B3))+(0.194*LN(I3/B3))+(-1.51*LN(H3/B3))+(1.941*LN(E3/B3))+(0.003*LN(G3/B3))-0.294</f>
        <v>-1.0190991490523285</v>
      </c>
      <c r="BA3">
        <f>(-0.554*LN(J3/B3))+(-0.995*LN(C3/B3))+(0.299*LN(D3/B3))+(-1.391*LN(K3/B3))+(-1.034*LN(F3/B3))+(0.255*LN(I3/B3))+(0.713*LN(H3/B3))+(0.33*LN(E3/B3))+(0.637*LN(G3/B3))-3.631</f>
        <v>2.1579462356996264</v>
      </c>
    </row>
    <row r="4" spans="1:53" ht="20.100000000000001" customHeight="1" x14ac:dyDescent="0.2">
      <c r="A4" s="4" t="s">
        <v>10</v>
      </c>
      <c r="B4" s="6">
        <v>70.2</v>
      </c>
      <c r="C4" s="6">
        <v>21.7</v>
      </c>
      <c r="D4" s="3">
        <v>3.86</v>
      </c>
      <c r="E4" s="3">
        <v>2.12</v>
      </c>
      <c r="F4" s="3">
        <v>1.04</v>
      </c>
      <c r="G4" s="3">
        <v>0.13200000000000001</v>
      </c>
      <c r="H4" s="3">
        <v>1.5</v>
      </c>
      <c r="I4" s="3">
        <v>0.47799999999999998</v>
      </c>
      <c r="J4" s="3">
        <v>0.63300000000000001</v>
      </c>
      <c r="K4" s="3">
        <v>4.3099999999999999E-2</v>
      </c>
      <c r="L4" s="7">
        <f t="shared" ref="L4:L26" si="1">K4/0.11</f>
        <v>0.39181818181818179</v>
      </c>
      <c r="M4" s="7">
        <f>K4/0.1</f>
        <v>0.43099999999999999</v>
      </c>
      <c r="N4" s="8">
        <f>(C4/(C4+I4+H4+E4))*100</f>
        <v>84.115047678114578</v>
      </c>
      <c r="O4">
        <f>((D4+E4+H4+I4+F4+K4)/C4)</f>
        <v>0.41664055299539182</v>
      </c>
      <c r="Q4">
        <f t="shared" ref="Q4:Q26" si="2">H4/E4</f>
        <v>0.70754716981132071</v>
      </c>
      <c r="R4">
        <f t="shared" ref="R4:R26" si="3">B4/D4</f>
        <v>18.186528497409327</v>
      </c>
      <c r="T4" s="6">
        <v>16</v>
      </c>
      <c r="U4" s="15">
        <f>I3+H3</f>
        <v>2.2400000000000002</v>
      </c>
      <c r="V4" s="3">
        <v>2.2000000000000002</v>
      </c>
      <c r="W4" s="17">
        <f>SUM(T4:V4)</f>
        <v>20.440000000000001</v>
      </c>
      <c r="X4" s="18">
        <f>T4/W4*100</f>
        <v>78.277886497064571</v>
      </c>
      <c r="Y4" s="18">
        <f>U4/W4*100</f>
        <v>10.958904109589042</v>
      </c>
      <c r="Z4" s="19">
        <f>V4/W4*100</f>
        <v>10.763209393346381</v>
      </c>
      <c r="AA4" s="15">
        <f>SUM(X4:Z4)</f>
        <v>100</v>
      </c>
      <c r="AC4">
        <f>(-1.773*J4)+(0.607*C4)+(0.76*D4)+(-1.5*F4)+(0.616*I4)+(0.509*H4)+(-1.224*E4)+(-9.09)</f>
        <v>2.7962589999999992</v>
      </c>
      <c r="AD4">
        <f>(0.445*J4)+(0.07*C4)+(-0.25*D4)+(-1.142*F4)+(0.438*I4)+(1.475*H4)+(-1.426*E4)+(-6.861)</f>
        <v>-7.8142509999999987</v>
      </c>
      <c r="AF4">
        <f>(-0.0447*B4)+(-0.972*J4)+(0.008*C4)+(-0.267*D4)+(3.082*K4)+(0.14*F4)+(0.195*I4)+(0.719*H4)+(0.031*E4)+(7.51*G4)</f>
        <v>-2.1030518000000011</v>
      </c>
      <c r="AG4">
        <f>(-0.0421*B4)+(1.988*J4)+(-0.526*C4)+(-0.551*D4)+(2.72*K4)+(0.881*F4)+(-0.907*I4)+(-0.177*H4)+(-1.84*E4)+(7.244*G4)</f>
        <v>-17.848242000000003</v>
      </c>
      <c r="AI4">
        <f>(-0.395*LN(B4))+(0.206*LN(J4))-(0.316*(C4))+(0.16*LN(D4))+(0.246*LN(F4))+(0.368*LN(I4))+(0.073*LN(H4))-(0.342*LN(E4))+(2.266)</f>
        <v>-6.6379507611207593</v>
      </c>
      <c r="AJ4">
        <f>(0.191*LN(B4))-(0.397*LN(J4))+(0.02*(C4))-(0.375*LN(D4))-(0.243*LN(F4))+(0.079*LN(I4))+(0.392*LN(H4))+(0.333*LN(E4))-(0.892)</f>
        <v>0.37036924920909542</v>
      </c>
      <c r="AK4">
        <f>(0.203*LN(B4))+(0.191*LN(J4))+(0.296*(C4))+(0.215*LN(D4))-(0.002*LN(F4))-(0.448*LN(I4))-(0.464*LN(H4))+(0.008*LN(E4))-(1.374)</f>
        <v>6.2637615778796985</v>
      </c>
      <c r="AM4">
        <f t="shared" ref="AM4:AM26" si="4">EXP(AI4)</f>
        <v>1.3097084011082785E-3</v>
      </c>
      <c r="AN4">
        <f t="shared" ref="AN4:AN26" si="5">EXP(AJ4)</f>
        <v>1.4482692882325903</v>
      </c>
      <c r="AO4">
        <f t="shared" ref="AO4:AO26" si="6">EXP(AK4)</f>
        <v>525.19077517991047</v>
      </c>
      <c r="AP4" s="12">
        <f t="shared" ref="AP4:AP26" si="7">SUM(AM4:AO4)</f>
        <v>526.64035417654418</v>
      </c>
      <c r="AQ4" s="18">
        <f t="shared" ref="AQ4:AQ26" si="8">AM4/AP4*100</f>
        <v>2.4869123505663387E-4</v>
      </c>
      <c r="AR4" s="18">
        <f t="shared" ref="AR4:AR26" si="9">AN4/AP4*100</f>
        <v>0.27500157873338565</v>
      </c>
      <c r="AS4" s="18">
        <f t="shared" ref="AS4:AS26" si="10">AO4/AP4*100</f>
        <v>99.724749730031562</v>
      </c>
      <c r="AT4" s="20">
        <f t="shared" si="0"/>
        <v>100.00000000000001</v>
      </c>
      <c r="AU4" s="20"/>
      <c r="AV4" s="20"/>
      <c r="AW4">
        <f>(-0.263*LN(J4/B4))+(0.604*LN(C4/B4))+(-1.725*LN(D4/B4))+(0.66*LN(K4/B4))+(2.191*LN(F4/B4))+(0.144*LN(I4/B4))+(-1.304*LN(H4/B4))+(0.054*LN(E4/B4))+(-0.33*LN(G4/B4))+1.588</f>
        <v>-0.8101991292060795</v>
      </c>
      <c r="AX4">
        <f>(-1.196*LN(J4/B4))+(1.064*LN(C4/B4))+(-0.303*LN(D4/B4))+(0.436*LN(K4/B4))+(0.838*LN(F4/B4))+(-0.407*LN(I4/B4))+(1.021*LN(H4/B4))+(-1.706*LN(E4/B4))+(-0.126*LN(G4/B4))-1.068</f>
        <v>2.3047964514244805</v>
      </c>
      <c r="AZ4">
        <f>(0.608*LN(J4/B4))+(-1.854*LN(C4/B4))+(0.299*LN(D4/B4))+(-0.55*LN(K4/B4))+(0.12*LN(F4/B4))+(0.194*LN(I4/B4))+(-1.51*LN(H4/B4))+(1.941*LN(E4/B4))+(0.003*LN(G4/B4))-0.294</f>
        <v>-0.25825109777617694</v>
      </c>
      <c r="BA4">
        <f>(-0.554*LN(J4/B4))+(-0.995*LN(C4/B4))+(0.299*LN(D4/B4))+(-1.391*LN(K4/B4))+(-1.034*LN(F4/B4))+(0.255*LN(I4/B4))+(0.713*LN(H4/B4))+(0.33*LN(E4/B4))+(0.637*LN(G4/B4))-3.631</f>
        <v>4.753620331151021</v>
      </c>
    </row>
    <row r="5" spans="1:53" ht="20.100000000000001" customHeight="1" x14ac:dyDescent="0.2">
      <c r="A5" s="4" t="s">
        <v>11</v>
      </c>
      <c r="B5" s="6">
        <v>71.900000000000006</v>
      </c>
      <c r="C5" s="6">
        <v>15.6</v>
      </c>
      <c r="D5" s="3">
        <v>4.4400000000000004</v>
      </c>
      <c r="E5" s="3">
        <v>2.58</v>
      </c>
      <c r="F5" s="3">
        <v>1.44</v>
      </c>
      <c r="G5" s="3">
        <v>0.159</v>
      </c>
      <c r="H5" s="3">
        <v>1.62</v>
      </c>
      <c r="I5" s="3">
        <v>0.88300000000000001</v>
      </c>
      <c r="J5" s="3">
        <v>0.64400000000000002</v>
      </c>
      <c r="K5" s="3">
        <v>7.0900000000000005E-2</v>
      </c>
      <c r="L5" s="7">
        <f t="shared" si="1"/>
        <v>0.64454545454545453</v>
      </c>
      <c r="M5" s="7">
        <f>K5/0.1</f>
        <v>0.70899999999999996</v>
      </c>
      <c r="N5" s="8">
        <f>(C5/(C5+I5+H5+E5))*100</f>
        <v>75.424261470773104</v>
      </c>
      <c r="O5">
        <f>((D5+E5+H5+I5+F5+K5)/C5)</f>
        <v>0.70730128205128207</v>
      </c>
      <c r="Q5">
        <f t="shared" si="2"/>
        <v>0.62790697674418605</v>
      </c>
      <c r="R5">
        <f t="shared" si="3"/>
        <v>16.193693693693692</v>
      </c>
      <c r="T5" s="6">
        <v>21.7</v>
      </c>
      <c r="U5" s="15">
        <f>I4+H4</f>
        <v>1.978</v>
      </c>
      <c r="V5" s="3">
        <v>2.12</v>
      </c>
      <c r="W5" s="17">
        <f>SUM(T5:V5)</f>
        <v>25.798000000000002</v>
      </c>
      <c r="X5" s="18">
        <f t="shared" ref="X5:X27" si="11">T5/W5*100</f>
        <v>84.115047678114578</v>
      </c>
      <c r="Y5" s="18">
        <f t="shared" ref="Y5:Y27" si="12">U5/W5*100</f>
        <v>7.6672610279866644</v>
      </c>
      <c r="Z5" s="19">
        <f t="shared" ref="Z5:Z27" si="13">V5/W5*100</f>
        <v>8.217691293898751</v>
      </c>
      <c r="AA5" s="15">
        <f t="shared" ref="AA5:AA27" si="14">SUM(X5:Z5)</f>
        <v>100</v>
      </c>
      <c r="AC5">
        <f>(-1.773*J5)+(0.607*C5)+(0.76*D5)+(-1.5*F5)+(0.616*I5)+(0.509*H5)+(-1.224*E5)+(-9.09)</f>
        <v>-1.3376240000000008</v>
      </c>
      <c r="AD5">
        <f>(0.445*J5)+(0.07*C5)+(-0.25*D5)+(-1.142*F5)+(0.438*I5)+(1.475*H5)+(-1.426*E5)+(-6.861)</f>
        <v>-9.1397259999999996</v>
      </c>
      <c r="AF5">
        <f>(-0.0447*B5)+(-0.972*J5)+(0.008*C5)+(-0.267*D5)+(3.082*K5)+(0.14*F5)+(0.195*I5)+(0.719*H5)+(0.031*E5)+(7.51*G5)</f>
        <v>-1.8694291999999997</v>
      </c>
      <c r="AG5">
        <f>(-0.0421*B5)+(1.988*J5)+(-0.526*C5)+(-0.551*D5)+(2.72*K5)+(0.881*F5)+(-0.907*I5)+(-0.177*H5)+(-1.84*E5)+(7.244*G5)</f>
        <v>-15.620295000000002</v>
      </c>
      <c r="AI5">
        <f>(-0.395*LN(B5))+(0.206*LN(J5))-(0.316*(C5))+(0.16*LN(D5))+(0.246*LN(F5))+(0.368*LN(I5))+(0.073*LN(H5))-(0.342*LN(E5))+(2.266)</f>
        <v>-4.4494960026699042</v>
      </c>
      <c r="AJ5">
        <f>(0.191*LN(B5))-(0.397*LN(J5))+(0.02*(C5))-(0.375*LN(D5))-(0.243*LN(F5))+(0.079*LN(I5))+(0.392*LN(H5))+(0.333*LN(E5))-(0.892)</f>
        <v>0.258571494443676</v>
      </c>
      <c r="AK5">
        <f>(0.203*LN(B5))+(0.191*LN(J5))+(0.296*(C5))+(0.215*LN(D5))-(0.002*LN(F5))-(0.448*LN(I5))-(0.464*LN(H5))+(0.008*LN(E5))-(1.374)</f>
        <v>4.186672941903776</v>
      </c>
      <c r="AM5">
        <f t="shared" si="4"/>
        <v>1.1684454420472806E-2</v>
      </c>
      <c r="AN5">
        <f t="shared" si="5"/>
        <v>1.2950787374769337</v>
      </c>
      <c r="AO5">
        <f t="shared" si="6"/>
        <v>65.803494307850087</v>
      </c>
      <c r="AP5" s="12">
        <f t="shared" si="7"/>
        <v>67.11025749974749</v>
      </c>
      <c r="AQ5" s="18">
        <f t="shared" si="8"/>
        <v>1.741083234633211E-2</v>
      </c>
      <c r="AR5" s="18">
        <f t="shared" si="9"/>
        <v>1.9297776312090689</v>
      </c>
      <c r="AS5" s="18">
        <f t="shared" si="10"/>
        <v>98.052811536444608</v>
      </c>
      <c r="AT5" s="20">
        <f t="shared" si="0"/>
        <v>100</v>
      </c>
      <c r="AU5" s="20"/>
      <c r="AV5" s="20"/>
      <c r="AW5">
        <f>(-0.263*LN(J5/B5))+(0.604*LN(C5/B5))+(-1.725*LN(D5/B5))+(0.66*LN(K5/B5))+(2.191*LN(F5/B5))+(0.144*LN(I5/B5))+(-1.304*LN(H5/B5))+(0.054*LN(E5/B5))+(-0.33*LN(G5/B5))+1.588</f>
        <v>-0.27757294110463704</v>
      </c>
      <c r="AX5">
        <f>(-1.196*LN(J5/B5))+(1.064*LN(C5/B5))+(-0.303*LN(D5/B5))+(0.436*LN(K5/B5))+(0.838*LN(F5/B5))+(-0.407*LN(I5/B5))+(1.021*LN(H5/B5))+(-1.706*LN(E5/B5))+(-0.126*LN(G5/B5))-1.068</f>
        <v>1.8597355162214391</v>
      </c>
      <c r="AZ5">
        <f>(0.608*LN(J5/B5))+(-1.854*LN(C5/B5))+(0.299*LN(D5/B5))+(-0.55*LN(K5/B5))+(0.12*LN(F5/B5))+(0.194*LN(I5/B5))+(-1.51*LN(H5/B5))+(1.941*LN(E5/B5))+(0.003*LN(G5/B5))-0.294</f>
        <v>0.5737565098181665</v>
      </c>
      <c r="BA5">
        <f>(-0.554*LN(J5/B5))+(-0.995*LN(C5/B5))+(0.299*LN(D5/B5))+(-1.391*LN(K5/B5))+(-1.034*LN(F5/B5))+(0.255*LN(I5/B5))+(0.713*LN(H5/B5))+(0.33*LN(E5/B5))+(0.637*LN(G5/B5))-3.631</f>
        <v>4.5218251105301164</v>
      </c>
    </row>
    <row r="6" spans="1:53" ht="20.100000000000001" customHeight="1" x14ac:dyDescent="0.2">
      <c r="A6" s="4" t="s">
        <v>12</v>
      </c>
      <c r="B6" s="6">
        <v>73</v>
      </c>
      <c r="C6" s="6">
        <v>20.2</v>
      </c>
      <c r="D6" s="3">
        <v>2.5</v>
      </c>
      <c r="E6" s="3">
        <v>1.28</v>
      </c>
      <c r="F6" s="3">
        <v>1.58</v>
      </c>
      <c r="G6" s="3">
        <v>0.13300000000000001</v>
      </c>
      <c r="H6" s="3">
        <v>1.2</v>
      </c>
      <c r="I6" s="3">
        <v>0.3</v>
      </c>
      <c r="J6" s="3">
        <v>0.38400000000000001</v>
      </c>
      <c r="K6" s="3">
        <v>2.3199999999999998E-2</v>
      </c>
      <c r="L6" s="7">
        <f t="shared" si="1"/>
        <v>0.21090909090909091</v>
      </c>
      <c r="M6" s="7">
        <f>K6/0.1</f>
        <v>0.23199999999999998</v>
      </c>
      <c r="N6" s="8">
        <f>(C6/(C6+I6+H6+E6))*100</f>
        <v>87.90252393385552</v>
      </c>
      <c r="O6">
        <f>((D6+E6+H6+I6+F6+K6)/C6)</f>
        <v>0.34075247524752478</v>
      </c>
      <c r="Q6">
        <f t="shared" si="2"/>
        <v>0.9375</v>
      </c>
      <c r="R6">
        <f t="shared" si="3"/>
        <v>29.2</v>
      </c>
      <c r="T6" s="6">
        <v>15.6</v>
      </c>
      <c r="U6" s="15">
        <f>I5+H5</f>
        <v>2.5030000000000001</v>
      </c>
      <c r="V6" s="3">
        <v>2.58</v>
      </c>
      <c r="W6" s="17">
        <f t="shared" ref="W6:W27" si="15">SUM(T6:V6)</f>
        <v>20.683</v>
      </c>
      <c r="X6" s="18">
        <f t="shared" si="11"/>
        <v>75.424261470773104</v>
      </c>
      <c r="Y6" s="18">
        <f t="shared" si="12"/>
        <v>12.101726055214428</v>
      </c>
      <c r="Z6" s="19">
        <f t="shared" si="13"/>
        <v>12.474012474012476</v>
      </c>
      <c r="AA6" s="15">
        <f t="shared" si="14"/>
        <v>100</v>
      </c>
      <c r="AC6">
        <f>(-1.773*J6)+(0.607*C6)+(0.76*D6)+(-1.5*F6)+(0.616*I6)+(0.509*H6)+(-1.224*E6)+(-9.09)</f>
        <v>1.2494479999999992</v>
      </c>
      <c r="AD6">
        <f>(0.445*J6)+(0.07*C6)+(-0.25*D6)+(-1.142*F6)+(0.438*I6)+(1.475*H6)+(-1.426*E6)+(-6.861)</f>
        <v>-7.6293600000000001</v>
      </c>
      <c r="AF6">
        <f>(-0.0447*B6)+(-0.972*J6)+(0.008*C6)+(-0.267*D6)+(3.082*K6)+(0.14*F6)+(0.195*I6)+(0.719*H6)+(0.031*E6)+(7.51*G6)</f>
        <v>-1.8897356000000003</v>
      </c>
      <c r="AG6">
        <f>(-0.0421*B6)+(1.988*J6)+(-0.526*C6)+(-0.551*D6)+(2.72*K6)+(0.881*F6)+(-0.907*I6)+(-0.177*H6)+(-1.84*E6)+(7.244*G6)</f>
        <v>-14.733772</v>
      </c>
      <c r="AI6">
        <f>(-0.395*LN(B6))+(0.206*LN(J6))-(0.316*(C6))+(0.16*LN(D6))+(0.246*LN(F6))+(0.368*LN(I6))+(0.073*LN(H6))-(0.342*LN(E6))+(2.266)</f>
        <v>-6.2641423364180024</v>
      </c>
      <c r="AJ6">
        <f>(0.191*LN(B6))-(0.397*LN(J6))+(0.02*(C6))-(0.375*LN(D6))-(0.243*LN(F6))+(0.079*LN(I6))+(0.392*LN(H6))+(0.333*LN(E6))-(0.892)</f>
        <v>0.31524884802734798</v>
      </c>
      <c r="AK6">
        <f>(0.203*LN(B6))+(0.191*LN(J6))+(0.296*(C6))+(0.215*LN(D6))-(0.002*LN(F6))-(0.448*LN(I6))-(0.464*LN(H6))+(0.008*LN(E6))-(1.374)</f>
        <v>5.9461998880797324</v>
      </c>
      <c r="AM6">
        <f t="shared" si="4"/>
        <v>1.9033451484341043E-3</v>
      </c>
      <c r="AN6">
        <f t="shared" si="5"/>
        <v>1.3706003397138904</v>
      </c>
      <c r="AO6">
        <f t="shared" si="6"/>
        <v>382.29780077869242</v>
      </c>
      <c r="AP6" s="12">
        <f t="shared" si="7"/>
        <v>383.67030446355477</v>
      </c>
      <c r="AQ6" s="18">
        <f t="shared" si="8"/>
        <v>4.9608873198965671E-4</v>
      </c>
      <c r="AR6" s="18">
        <f t="shared" si="9"/>
        <v>0.35723388643023979</v>
      </c>
      <c r="AS6" s="18">
        <f t="shared" si="10"/>
        <v>99.642270024837771</v>
      </c>
      <c r="AT6" s="20">
        <f t="shared" si="0"/>
        <v>100.00000000000001</v>
      </c>
      <c r="AU6" s="20"/>
      <c r="AV6" s="20"/>
      <c r="AW6">
        <f>(-0.263*LN(J6/B6))+(0.604*LN(C6/B6))+(-1.725*LN(D6/B6))+(0.66*LN(K6/B6))+(2.191*LN(F6/B6))+(0.144*LN(I6/B6))+(-1.304*LN(H6/B6))+(0.054*LN(E6/B6))+(-0.33*LN(G6/B6))+1.588</f>
        <v>0.72774212467977506</v>
      </c>
      <c r="AX6">
        <f>(-1.196*LN(J6/B6))+(1.064*LN(C6/B6))+(-0.303*LN(D6/B6))+(0.436*LN(K6/B6))+(0.838*LN(F6/B6))+(-0.407*LN(I6/B6))+(1.021*LN(H6/B6))+(-1.706*LN(E6/B6))+(-0.126*LN(G6/B6))-1.068</f>
        <v>3.8748093848696841</v>
      </c>
      <c r="AZ6">
        <f>(0.608*LN(J6/B6))+(-1.854*LN(C6/B6))+(0.299*LN(D6/B6))+(-0.55*LN(K6/B6))+(0.12*LN(F6/B6))+(0.194*LN(I6/B6))+(-1.51*LN(H6/B6))+(1.941*LN(E6/B6))+(0.003*LN(G6/B6))-0.294</f>
        <v>-0.87183548613835171</v>
      </c>
      <c r="BA6">
        <f>(-0.554*LN(J6/B6))+(-0.995*LN(C6/B6))+(0.299*LN(D6/B6))+(-1.391*LN(K6/B6))+(-1.034*LN(F6/B6))+(0.255*LN(I6/B6))+(0.713*LN(H6/B6))+(0.33*LN(E6/B6))+(0.637*LN(G6/B6))-3.631</f>
        <v>5.0295094096328015</v>
      </c>
    </row>
    <row r="7" spans="1:53" ht="20.100000000000001" customHeight="1" x14ac:dyDescent="0.2">
      <c r="A7" s="4" t="s">
        <v>13</v>
      </c>
      <c r="B7" s="6">
        <v>73.099999999999994</v>
      </c>
      <c r="C7" s="6">
        <v>24.8</v>
      </c>
      <c r="D7" s="3">
        <v>0.58699999999999997</v>
      </c>
      <c r="E7" s="3">
        <v>0.33400000000000002</v>
      </c>
      <c r="F7" s="3">
        <v>0.9</v>
      </c>
      <c r="G7" s="3">
        <v>9.0499999999999997E-2</v>
      </c>
      <c r="H7" s="3">
        <v>0.12</v>
      </c>
      <c r="I7" s="3">
        <v>0.31669999999999998</v>
      </c>
      <c r="J7" s="3">
        <v>0.115</v>
      </c>
      <c r="K7" s="3">
        <v>4.4000000000000003E-3</v>
      </c>
      <c r="L7" s="7">
        <f t="shared" si="1"/>
        <v>0.04</v>
      </c>
      <c r="M7" s="7">
        <f>K7/0.1</f>
        <v>4.3999999999999997E-2</v>
      </c>
      <c r="N7" s="8">
        <f>(C7/(C7+I7+H7+E7))*100</f>
        <v>96.986003511831896</v>
      </c>
      <c r="O7">
        <f>((D7+E7+H7+I7+F7+K7)/C7)</f>
        <v>9.1213709677419347E-2</v>
      </c>
      <c r="Q7">
        <f t="shared" si="2"/>
        <v>0.35928143712574845</v>
      </c>
      <c r="R7">
        <f t="shared" si="3"/>
        <v>124.53151618398637</v>
      </c>
      <c r="T7" s="6">
        <v>20.2</v>
      </c>
      <c r="U7" s="15">
        <f>I6+H6</f>
        <v>1.5</v>
      </c>
      <c r="V7" s="3">
        <v>1.28</v>
      </c>
      <c r="W7" s="17">
        <f t="shared" si="15"/>
        <v>22.98</v>
      </c>
      <c r="X7" s="18">
        <f t="shared" si="11"/>
        <v>87.90252393385552</v>
      </c>
      <c r="Y7" s="18">
        <f t="shared" si="12"/>
        <v>6.5274151436031325</v>
      </c>
      <c r="Z7" s="19">
        <f t="shared" si="13"/>
        <v>5.57006092254134</v>
      </c>
      <c r="AA7" s="15">
        <f t="shared" si="14"/>
        <v>100</v>
      </c>
      <c r="AC7">
        <f>(-1.773*J7)+(0.607*C7)+(0.76*D7)+(-1.5*F7)+(0.616*I7)+(0.509*H7)+(-1.224*E7)+(-9.09)</f>
        <v>4.7031762000000015</v>
      </c>
      <c r="AD7">
        <f>(0.445*J7)+(0.07*C7)+(-0.25*D7)+(-1.142*F7)+(0.438*I7)+(1.475*H7)+(-1.426*E7)+(-6.861)</f>
        <v>-6.4089443999999993</v>
      </c>
      <c r="AF7">
        <f>(-0.0447*B7)+(-0.972*J7)+(0.008*C7)+(-0.267*D7)+(3.082*K7)+(0.14*F7)+(0.195*I7)+(0.719*H7)+(0.031*E7)+(7.51*G7)</f>
        <v>-2.3600726999999999</v>
      </c>
      <c r="AG7">
        <f>(-0.0421*B7)+(1.988*J7)+(-0.526*C7)+(-0.551*D7)+(2.72*K7)+(0.881*F7)+(-0.907*I7)+(-0.177*H7)+(-1.84*E7)+(7.244*G7)</f>
        <v>-15.679723899999997</v>
      </c>
      <c r="AI7">
        <f>(-0.395*LN(B7))+(0.206*LN(J7))-(0.316*(C7))+(0.16*LN(D7))+(0.246*LN(F7))+(0.368*LN(I7))+(0.073*LN(H7))-(0.342*LN(E7))+(2.266)</f>
        <v>-8.0256330063022432</v>
      </c>
      <c r="AJ7">
        <f>(0.191*LN(B7))-(0.397*LN(J7))+(0.02*(C7))-(0.375*LN(D7))-(0.243*LN(F7))+(0.079*LN(I7))+(0.392*LN(H7))+(0.333*LN(E7))-(0.892)</f>
        <v>0.22060644719384837</v>
      </c>
      <c r="AK7">
        <f>(0.203*LN(B7))+(0.191*LN(J7))+(0.296*(C7))+(0.215*LN(D7))-(0.002*LN(F7))-(0.448*LN(I7))-(0.464*LN(H7))+(0.008*LN(E7))-(1.374)</f>
        <v>7.8007555213012214</v>
      </c>
      <c r="AM7">
        <f t="shared" si="4"/>
        <v>3.2697298462609238E-4</v>
      </c>
      <c r="AN7">
        <f t="shared" si="5"/>
        <v>1.2468326395102205</v>
      </c>
      <c r="AO7">
        <f t="shared" si="6"/>
        <v>2442.4466011448339</v>
      </c>
      <c r="AP7" s="12">
        <f t="shared" si="7"/>
        <v>2443.6937607573286</v>
      </c>
      <c r="AQ7" s="18">
        <f t="shared" si="8"/>
        <v>1.3380276607358514E-5</v>
      </c>
      <c r="AR7" s="18">
        <f t="shared" si="9"/>
        <v>5.1022458686632355E-2</v>
      </c>
      <c r="AS7" s="18">
        <f t="shared" si="10"/>
        <v>99.94896416103677</v>
      </c>
      <c r="AT7" s="20">
        <f t="shared" si="0"/>
        <v>100</v>
      </c>
      <c r="AU7" s="20"/>
      <c r="AV7" s="20"/>
      <c r="AW7">
        <f>(-0.263*LN(J7/B7))+(0.604*LN(C7/B7))+(-1.725*LN(D7/B7))+(0.66*LN(K7/B7))+(2.191*LN(F7/B7))+(0.144*LN(I7/B7))+(-1.304*LN(H7/B7))+(0.054*LN(E7/B7))+(-0.33*LN(G7/B7))+1.588</f>
        <v>4.402810065103564</v>
      </c>
      <c r="AX7">
        <f>(-1.196*LN(J7/B7))+(1.064*LN(C7/B7))+(-0.303*LN(D7/B7))+(0.436*LN(K7/B7))+(0.838*LN(F7/B7))+(-0.407*LN(I7/B7))+(1.021*LN(H7/B7))+(-1.706*LN(E7/B7))+(-0.126*LN(G7/B7))-1.068</f>
        <v>4.7457072992045184</v>
      </c>
      <c r="AZ7">
        <f>(0.608*LN(J7/B7))+(-1.854*LN(C7/B7))+(0.299*LN(D7/B7))+(-0.55*LN(K7/B7))+(0.12*LN(F7/B7))+(0.194*LN(I7/B7))+(-1.51*LN(H7/B7))+(1.941*LN(E7/B7))+(0.003*LN(G7/B7))-0.294</f>
        <v>-0.69206679398342286</v>
      </c>
      <c r="BA7">
        <f>(-0.554*LN(J7/B7))+(-0.995*LN(C7/B7))+(0.299*LN(D7/B7))+(-1.391*LN(K7/B7))+(-1.034*LN(F7/B7))+(0.255*LN(I7/B7))+(0.713*LN(H7/B7))+(0.33*LN(E7/B7))+(0.637*LN(G7/B7))-3.631</f>
        <v>5.6404660347434508</v>
      </c>
    </row>
    <row r="8" spans="1:53" ht="20.100000000000001" customHeight="1" x14ac:dyDescent="0.2">
      <c r="A8" s="4" t="s">
        <v>14</v>
      </c>
      <c r="B8" s="6">
        <v>72.2</v>
      </c>
      <c r="C8" s="6">
        <v>19.5</v>
      </c>
      <c r="D8" s="3">
        <v>3.45</v>
      </c>
      <c r="E8" s="3">
        <v>1.95</v>
      </c>
      <c r="F8" s="3">
        <v>1.39</v>
      </c>
      <c r="G8" s="3">
        <v>0.185</v>
      </c>
      <c r="H8" s="3">
        <v>1.25</v>
      </c>
      <c r="I8" s="3">
        <v>0.51900000000000002</v>
      </c>
      <c r="J8" s="3">
        <v>0.54800000000000004</v>
      </c>
      <c r="K8" s="3">
        <v>0.104</v>
      </c>
      <c r="L8" s="7">
        <f t="shared" si="1"/>
        <v>0.94545454545454544</v>
      </c>
      <c r="M8" s="7">
        <f>K8/0.1</f>
        <v>1.0399999999999998</v>
      </c>
      <c r="N8" s="8">
        <f>(C8/(C8+I8+H8+E8))*100</f>
        <v>83.982945001938077</v>
      </c>
      <c r="O8">
        <f>((D8+E8+H8+I8+F8+K8)/C8)</f>
        <v>0.44425641025641027</v>
      </c>
      <c r="Q8">
        <f t="shared" si="2"/>
        <v>0.64102564102564108</v>
      </c>
      <c r="R8">
        <f t="shared" si="3"/>
        <v>20.927536231884059</v>
      </c>
      <c r="T8" s="6">
        <v>24.8</v>
      </c>
      <c r="U8" s="15">
        <f>I7+H7</f>
        <v>0.43669999999999998</v>
      </c>
      <c r="V8" s="3">
        <v>0.33400000000000002</v>
      </c>
      <c r="W8" s="17">
        <f t="shared" si="15"/>
        <v>25.570699999999999</v>
      </c>
      <c r="X8" s="18">
        <f t="shared" si="11"/>
        <v>96.98600351183191</v>
      </c>
      <c r="Y8" s="18">
        <f t="shared" si="12"/>
        <v>1.7078140215168143</v>
      </c>
      <c r="Z8" s="19">
        <f t="shared" si="13"/>
        <v>1.3061824666512847</v>
      </c>
      <c r="AA8" s="15">
        <f t="shared" si="14"/>
        <v>100</v>
      </c>
      <c r="AC8">
        <f>(-1.773*J8)+(0.607*C8)+(0.76*D8)+(-1.5*F8)+(0.616*I8)+(0.509*H8)+(-1.224*E8)+(-9.09)</f>
        <v>0.88105000000000189</v>
      </c>
      <c r="AD8">
        <f>(0.445*J8)+(0.07*C8)+(-0.25*D8)+(-1.142*F8)+(0.438*I8)+(1.475*H8)+(-1.426*E8)+(-6.861)</f>
        <v>-8.4116479999999996</v>
      </c>
      <c r="AF8">
        <f>(-0.0447*B8)+(-0.972*J8)+(0.008*C8)+(-0.267*D8)+(3.082*K8)+(0.14*F8)+(0.195*I8)+(0.719*H8)+(0.031*E8)+(7.51*G8)</f>
        <v>-1.560263</v>
      </c>
      <c r="AG8">
        <f>(-0.0421*B8)+(1.988*J8)+(-0.526*C8)+(-0.551*D8)+(2.72*K8)+(0.881*F8)+(-0.907*I8)+(-0.177*H8)+(-1.84*E8)+(7.244*G8)</f>
        <v>-15.540518999999998</v>
      </c>
      <c r="AI8">
        <f>(-0.395*LN(B8))+(0.206*LN(J8))-(0.316*(C8))+(0.16*LN(D8))+(0.246*LN(F8))+(0.368*LN(I8))+(0.073*LN(H8))-(0.342*LN(E8))+(2.266)</f>
        <v>-5.8845965775603606</v>
      </c>
      <c r="AJ8">
        <f>(0.191*LN(B8))-(0.397*LN(J8))+(0.02*(C8))-(0.375*LN(D8))-(0.243*LN(F8))+(0.079*LN(I8))+(0.392*LN(H8))+(0.333*LN(E8))-(0.892)</f>
        <v>0.26779665132071562</v>
      </c>
      <c r="AK8">
        <f>(0.203*LN(B8))+(0.191*LN(J8))+(0.296*(C8))+(0.215*LN(D8))-(0.002*LN(F8))-(0.448*LN(I8))-(0.464*LN(H8))+(0.008*LN(E8))-(1.374)</f>
        <v>5.6130609555154436</v>
      </c>
      <c r="AM8">
        <f t="shared" si="4"/>
        <v>2.781968307415424E-3</v>
      </c>
      <c r="AN8">
        <f t="shared" si="5"/>
        <v>1.3070813197286659</v>
      </c>
      <c r="AO8">
        <f t="shared" si="6"/>
        <v>273.98160127865231</v>
      </c>
      <c r="AP8" s="12">
        <f t="shared" si="7"/>
        <v>275.29146456668838</v>
      </c>
      <c r="AQ8" s="18">
        <f t="shared" si="8"/>
        <v>1.0105537822592033E-3</v>
      </c>
      <c r="AR8" s="18">
        <f t="shared" si="9"/>
        <v>0.47479907224367657</v>
      </c>
      <c r="AS8" s="18">
        <f t="shared" si="10"/>
        <v>99.524190373974065</v>
      </c>
      <c r="AT8" s="20">
        <f t="shared" si="0"/>
        <v>100</v>
      </c>
      <c r="AU8" s="20"/>
      <c r="AV8" s="20"/>
      <c r="AW8">
        <f>(-0.263*LN(J8/B8))+(0.604*LN(C8/B8))+(-1.725*LN(D8/B8))+(0.66*LN(K8/B8))+(2.191*LN(F8/B8))+(0.144*LN(I8/B8))+(-1.304*LN(H8/B8))+(0.054*LN(E8/B8))+(-0.33*LN(G8/B8))+1.588</f>
        <v>0.70662821842718082</v>
      </c>
      <c r="AX8">
        <f>(-1.196*LN(J8/B8))+(1.064*LN(C8/B8))+(-0.303*LN(D8/B8))+(0.436*LN(K8/B8))+(0.838*LN(F8/B8))+(-0.407*LN(I8/B8))+(1.021*LN(H8/B8))+(-1.706*LN(E8/B8))+(-0.126*LN(G8/B8))-1.068</f>
        <v>2.9157576232902565</v>
      </c>
      <c r="AZ8">
        <f>(0.608*LN(J8/B8))+(-1.854*LN(C8/B8))+(0.299*LN(D8/B8))+(-0.55*LN(K8/B8))+(0.12*LN(F8/B8))+(0.194*LN(I8/B8))+(-1.51*LN(H8/B8))+(1.941*LN(E8/B8))+(0.003*LN(G8/B8))-0.294</f>
        <v>-0.47989422575848667</v>
      </c>
      <c r="BA8">
        <f>(-0.554*LN(J8/B8))+(-0.995*LN(C8/B8))+(0.299*LN(D8/B8))+(-1.391*LN(K8/B8))+(-1.034*LN(F8/B8))+(0.255*LN(I8/B8))+(0.713*LN(H8/B8))+(0.33*LN(E8/B8))+(0.637*LN(G8/B8))-3.631</f>
        <v>3.5083663620710497</v>
      </c>
    </row>
    <row r="9" spans="1:53" ht="20.100000000000001" customHeight="1" x14ac:dyDescent="0.2">
      <c r="A9" s="4" t="s">
        <v>15</v>
      </c>
      <c r="B9" s="6">
        <v>71.2</v>
      </c>
      <c r="C9" s="6">
        <v>19.2</v>
      </c>
      <c r="D9" s="3">
        <v>3.71</v>
      </c>
      <c r="E9" s="3">
        <v>2.38</v>
      </c>
      <c r="F9" s="3">
        <v>1.32</v>
      </c>
      <c r="G9" s="3">
        <v>0.216</v>
      </c>
      <c r="H9" s="3">
        <v>1.45</v>
      </c>
      <c r="I9" s="3">
        <v>1.03</v>
      </c>
      <c r="J9" s="3">
        <v>0.65</v>
      </c>
      <c r="K9" s="3">
        <v>6.2899999999999998E-2</v>
      </c>
      <c r="L9" s="7">
        <f t="shared" si="1"/>
        <v>0.57181818181818178</v>
      </c>
      <c r="M9" s="7">
        <f>K9/0.1</f>
        <v>0.62899999999999989</v>
      </c>
      <c r="N9" s="8">
        <f>(C9/(C9+I9+H9+E9))*100</f>
        <v>79.800498753117211</v>
      </c>
      <c r="O9">
        <f>((D9+E9+H9+I9+F9+K9)/C9)</f>
        <v>0.51838020833333343</v>
      </c>
      <c r="Q9">
        <f t="shared" si="2"/>
        <v>0.60924369747899165</v>
      </c>
      <c r="R9">
        <f t="shared" si="3"/>
        <v>19.191374663072779</v>
      </c>
      <c r="T9" s="6">
        <v>19.5</v>
      </c>
      <c r="U9" s="15">
        <f>I8+H8</f>
        <v>1.7690000000000001</v>
      </c>
      <c r="V9" s="3">
        <v>1.95</v>
      </c>
      <c r="W9" s="17">
        <f t="shared" si="15"/>
        <v>23.218999999999998</v>
      </c>
      <c r="X9" s="18">
        <f t="shared" si="11"/>
        <v>83.982945001938077</v>
      </c>
      <c r="Y9" s="18">
        <f t="shared" si="12"/>
        <v>7.6187604978681271</v>
      </c>
      <c r="Z9" s="19">
        <f t="shared" si="13"/>
        <v>8.3982945001938081</v>
      </c>
      <c r="AA9" s="15">
        <f t="shared" si="14"/>
        <v>100.00000000000001</v>
      </c>
      <c r="AC9">
        <f>(-1.773*J9)+(0.607*C9)+(0.76*D9)+(-1.5*F9)+(0.616*I9)+(0.509*H9)+(-1.224*E9)+(-9.09)</f>
        <v>0.71095999999999826</v>
      </c>
      <c r="AD9">
        <f>(0.445*J9)+(0.07*C9)+(-0.25*D9)+(-1.142*F9)+(0.438*I9)+(1.475*H9)+(-1.426*E9)+(-6.861)</f>
        <v>-8.4666800000000002</v>
      </c>
      <c r="AF9">
        <f>(-0.0447*B9)+(-0.972*J9)+(0.008*C9)+(-0.267*D9)+(3.082*K9)+(0.14*F9)+(0.195*I9)+(0.719*H9)+(0.031*E9)+(7.51*G9)</f>
        <v>-1.3334122000000002</v>
      </c>
      <c r="AG9">
        <f>(-0.0421*B9)+(1.988*J9)+(-0.526*C9)+(-0.551*D9)+(2.72*K9)+(0.881*F9)+(-0.907*I9)+(-0.177*H9)+(-1.84*E9)+(7.244*G9)</f>
        <v>-16.520078000000002</v>
      </c>
      <c r="AI9">
        <f>(-0.395*LN(B9))+(0.206*LN(J9))-(0.316*(C9))+(0.16*LN(D9))+(0.246*LN(F9))+(0.368*LN(I9))+(0.073*LN(H9))-(0.342*LN(E9))+(2.266)</f>
        <v>-5.5552950244711141</v>
      </c>
      <c r="AJ9">
        <f>(0.191*LN(B9))-(0.397*LN(J9))+(0.02*(C9))-(0.375*LN(D9))-(0.243*LN(F9))+(0.079*LN(I9))+(0.392*LN(H9))+(0.333*LN(E9))-(0.892)</f>
        <v>0.3553610021780752</v>
      </c>
      <c r="AK9">
        <f>(0.203*LN(B9))+(0.191*LN(J9))+(0.296*(C9))+(0.215*LN(D9))-(0.002*LN(F9))-(0.448*LN(I9))-(0.464*LN(H9))+(0.008*LN(E9))-(1.374)</f>
        <v>5.195421065477726</v>
      </c>
      <c r="AM9">
        <f t="shared" si="4"/>
        <v>3.8669274630529623E-3</v>
      </c>
      <c r="AN9">
        <f t="shared" si="5"/>
        <v>1.4266956015469543</v>
      </c>
      <c r="AO9">
        <f t="shared" si="6"/>
        <v>180.44410558675497</v>
      </c>
      <c r="AP9" s="12">
        <f t="shared" si="7"/>
        <v>181.87466811576499</v>
      </c>
      <c r="AQ9" s="18">
        <f t="shared" si="8"/>
        <v>2.1261495639357678E-3</v>
      </c>
      <c r="AR9" s="18">
        <f t="shared" si="9"/>
        <v>0.78443887558813241</v>
      </c>
      <c r="AS9" s="18">
        <f t="shared" si="10"/>
        <v>99.213434974847928</v>
      </c>
      <c r="AT9" s="20">
        <f t="shared" si="0"/>
        <v>100</v>
      </c>
      <c r="AU9" s="20"/>
      <c r="AV9" s="20"/>
      <c r="AW9">
        <f>(-0.263*LN(J9/B9))+(0.604*LN(C9/B9))+(-1.725*LN(D9/B9))+(0.66*LN(K9/B9))+(2.191*LN(F9/B9))+(0.144*LN(I9/B9))+(-1.304*LN(H9/B9))+(0.054*LN(E9/B9))+(-0.33*LN(G9/B9))+1.588</f>
        <v>-5.2827046467734284E-2</v>
      </c>
      <c r="AX9">
        <f>(-1.196*LN(J9/B9))+(1.064*LN(C9/B9))+(-0.303*LN(D9/B9))+(0.436*LN(K9/B9))+(0.838*LN(F9/B9))+(-0.407*LN(I9/B9))+(1.021*LN(H9/B9))+(-1.706*LN(E9/B9))+(-0.126*LN(G9/B9))-1.068</f>
        <v>1.9183628575132867</v>
      </c>
      <c r="AZ9">
        <f>(0.608*LN(J9/B9))+(-1.854*LN(C9/B9))+(0.299*LN(D9/B9))+(-0.55*LN(K9/B9))+(0.12*LN(F9/B9))+(0.194*LN(I9/B9))+(-1.51*LN(H9/B9))+(1.941*LN(E9/B9))+(0.003*LN(G9/B9))-0.294</f>
        <v>0.23038185698627173</v>
      </c>
      <c r="BA9">
        <f>(-0.554*LN(J9/B9))+(-0.995*LN(C9/B9))+(0.299*LN(D9/B9))+(-1.391*LN(K9/B9))+(-1.034*LN(F9/B9))+(0.255*LN(I9/B9))+(0.713*LN(H9/B9))+(0.33*LN(E9/B9))+(0.637*LN(G9/B9))-3.631</f>
        <v>4.6246174109656337</v>
      </c>
    </row>
    <row r="10" spans="1:53" ht="20.100000000000001" customHeight="1" x14ac:dyDescent="0.2">
      <c r="A10" s="4" t="s">
        <v>16</v>
      </c>
      <c r="B10" s="6">
        <v>70.599999999999994</v>
      </c>
      <c r="C10" s="6">
        <v>22.2</v>
      </c>
      <c r="D10" s="3">
        <v>2.75</v>
      </c>
      <c r="E10" s="3">
        <v>1.45</v>
      </c>
      <c r="F10" s="3">
        <v>1.75</v>
      </c>
      <c r="G10" s="3">
        <v>0.14399999999999999</v>
      </c>
      <c r="H10" s="3">
        <v>1.2</v>
      </c>
      <c r="I10" s="3">
        <v>0.505</v>
      </c>
      <c r="J10" s="3">
        <v>0.41699999999999998</v>
      </c>
      <c r="K10" s="3">
        <v>2.2800000000000001E-2</v>
      </c>
      <c r="L10" s="7">
        <f t="shared" si="1"/>
        <v>0.20727272727272728</v>
      </c>
      <c r="M10" s="7">
        <f>K10/0.1</f>
        <v>0.22800000000000001</v>
      </c>
      <c r="N10" s="8">
        <f>(C10/(C10+I10+H10+E10))*100</f>
        <v>87.556694931966092</v>
      </c>
      <c r="O10">
        <f>((D10+E10+H10+I10+F10+K10)/C10)</f>
        <v>0.34584684684684686</v>
      </c>
      <c r="Q10">
        <f t="shared" si="2"/>
        <v>0.82758620689655171</v>
      </c>
      <c r="R10">
        <f t="shared" si="3"/>
        <v>25.672727272727272</v>
      </c>
      <c r="T10" s="6">
        <v>19.2</v>
      </c>
      <c r="U10" s="15">
        <f>I9+H9</f>
        <v>2.48</v>
      </c>
      <c r="V10" s="3">
        <v>2.38</v>
      </c>
      <c r="W10" s="17">
        <f t="shared" si="15"/>
        <v>24.06</v>
      </c>
      <c r="X10" s="18">
        <f t="shared" si="11"/>
        <v>79.800498753117211</v>
      </c>
      <c r="Y10" s="18">
        <f t="shared" si="12"/>
        <v>10.30756442227764</v>
      </c>
      <c r="Z10" s="19">
        <f t="shared" si="13"/>
        <v>9.8919368246051533</v>
      </c>
      <c r="AA10" s="15">
        <f t="shared" si="14"/>
        <v>100</v>
      </c>
      <c r="AC10">
        <f>(-1.773*J10)+(0.607*C10)+(0.76*D10)+(-1.5*F10)+(0.616*I10)+(0.509*H10)+(-1.224*E10)+(-9.09)</f>
        <v>2.2581389999999999</v>
      </c>
      <c r="AD10">
        <f>(0.445*J10)+(0.07*C10)+(-0.25*D10)+(-1.142*F10)+(0.438*I10)+(1.475*H10)+(-1.426*E10)+(-6.861)</f>
        <v>-7.8839449999999998</v>
      </c>
      <c r="AF10">
        <f>(-0.0447*B10)+(-0.972*J10)+(0.008*C10)+(-0.267*D10)+(3.082*K10)+(0.14*F10)+(0.195*I10)+(0.719*H10)+(0.031*E10)+(7.51*G10)</f>
        <v>-1.7148593999999993</v>
      </c>
      <c r="AG10">
        <f>(-0.0421*B10)+(1.988*J10)+(-0.526*C10)+(-0.551*D10)+(2.72*K10)+(0.881*F10)+(-0.907*I10)+(-0.177*H10)+(-1.84*E10)+(7.244*G10)</f>
        <v>-16.027247000000003</v>
      </c>
      <c r="AI10">
        <f>(-0.395*LN(B10))+(0.206*LN(J10))-(0.316*(C10))+(0.16*LN(D10))+(0.246*LN(F10))+(0.368*LN(I10))+(0.073*LN(H10))-(0.342*LN(E10))+(2.266)</f>
        <v>-6.6765688065023223</v>
      </c>
      <c r="AJ10">
        <f>(0.191*LN(B10))-(0.397*LN(J10))+(0.02*(C10))-(0.375*LN(D10))-(0.243*LN(F10))+(0.079*LN(I10))+(0.392*LN(H10))+(0.333*LN(E10))-(0.892)</f>
        <v>0.33822755838180452</v>
      </c>
      <c r="AK10">
        <f>(0.203*LN(B10))+(0.191*LN(J10))+(0.296*(C10))+(0.215*LN(D10))-(0.002*LN(F10))-(0.448*LN(I10))-(0.464*LN(H10))+(0.008*LN(E10))-(1.374)</f>
        <v>6.3351377886140234</v>
      </c>
      <c r="AM10">
        <f t="shared" si="4"/>
        <v>1.2600941904310943E-3</v>
      </c>
      <c r="AN10">
        <f t="shared" si="5"/>
        <v>1.4024596085354846</v>
      </c>
      <c r="AO10">
        <f t="shared" si="6"/>
        <v>564.04711690138163</v>
      </c>
      <c r="AP10" s="12">
        <f t="shared" si="7"/>
        <v>565.45083660410751</v>
      </c>
      <c r="AQ10" s="18">
        <f t="shared" si="8"/>
        <v>2.2284770113680663E-4</v>
      </c>
      <c r="AR10" s="18">
        <f t="shared" si="9"/>
        <v>0.24802503024987069</v>
      </c>
      <c r="AS10" s="18">
        <f t="shared" si="10"/>
        <v>99.751752122048998</v>
      </c>
      <c r="AT10" s="20">
        <f t="shared" si="0"/>
        <v>100.00000000000001</v>
      </c>
      <c r="AU10" s="20"/>
      <c r="AV10" s="20"/>
      <c r="AW10">
        <f>(-0.263*LN(J10/B10))+(0.604*LN(C10/B10))+(-1.725*LN(D10/B10))+(0.66*LN(K10/B10))+(2.191*LN(F10/B10))+(0.144*LN(I10/B10))+(-1.304*LN(H10/B10))+(0.054*LN(E10/B10))+(-0.33*LN(G10/B10))+1.588</f>
        <v>0.86763348720326672</v>
      </c>
      <c r="AX10">
        <f>(-1.196*LN(J10/B10))+(1.064*LN(C10/B10))+(-0.303*LN(D10/B10))+(0.436*LN(K10/B10))+(0.838*LN(F10/B10))+(-0.407*LN(I10/B10))+(1.021*LN(H10/B10))+(-1.706*LN(E10/B10))+(-0.126*LN(G10/B10))-1.068</f>
        <v>3.4784507480653732</v>
      </c>
      <c r="AZ10">
        <f>(0.608*LN(J10/B10))+(-1.854*LN(C10/B10))+(0.299*LN(D10/B10))+(-0.55*LN(K10/B10))+(0.12*LN(F10/B10))+(0.194*LN(I10/B10))+(-1.51*LN(H10/B10))+(1.941*LN(E10/B10))+(0.003*LN(G10/B10))-0.294</f>
        <v>-0.62813933881649531</v>
      </c>
      <c r="BA10">
        <f>(-0.554*LN(J10/B10))+(-0.995*LN(C10/B10))+(0.299*LN(D10/B10))+(-1.391*LN(K10/B10))+(-1.034*LN(F10/B10))+(0.255*LN(I10/B10))+(0.713*LN(H10/B10))+(0.33*LN(E10/B10))+(0.637*LN(G10/B10))-3.631</f>
        <v>5.0033239231440785</v>
      </c>
    </row>
    <row r="11" spans="1:53" ht="20.100000000000001" customHeight="1" x14ac:dyDescent="0.2">
      <c r="A11" s="4" t="s">
        <v>17</v>
      </c>
      <c r="B11" s="6">
        <v>73.400000000000006</v>
      </c>
      <c r="C11" s="6">
        <v>22.1</v>
      </c>
      <c r="D11" s="3">
        <v>4.2569999999999997</v>
      </c>
      <c r="E11" s="3">
        <v>0.65900000000000003</v>
      </c>
      <c r="F11" s="3">
        <v>0.70099999999999996</v>
      </c>
      <c r="G11" s="3">
        <v>9.7100000000000006E-2</v>
      </c>
      <c r="H11" s="3">
        <v>0.55000000000000004</v>
      </c>
      <c r="I11" s="3">
        <v>0.12</v>
      </c>
      <c r="J11" s="3">
        <v>7.8600000000000003E-2</v>
      </c>
      <c r="K11" s="3">
        <f>AVERAGE(K3:K10)</f>
        <v>9.2787499999999981E-2</v>
      </c>
      <c r="L11" s="7">
        <f t="shared" si="1"/>
        <v>0.84352272727272715</v>
      </c>
      <c r="M11" s="7">
        <f>K11/0.1</f>
        <v>0.92787499999999978</v>
      </c>
      <c r="N11" s="8">
        <f>(C11/(C11+I11+H11+E11))*100</f>
        <v>94.327542788851432</v>
      </c>
      <c r="O11">
        <f>((D11+E11+H11+I11+F11+K11)/C11)</f>
        <v>0.28867816742081442</v>
      </c>
      <c r="Q11">
        <f t="shared" si="2"/>
        <v>0.83459787556904408</v>
      </c>
      <c r="R11">
        <f t="shared" si="3"/>
        <v>17.242189335212593</v>
      </c>
      <c r="T11" s="6">
        <v>22.2</v>
      </c>
      <c r="U11" s="15">
        <f>I10+H10</f>
        <v>1.7050000000000001</v>
      </c>
      <c r="V11" s="3">
        <v>1.45</v>
      </c>
      <c r="W11" s="17">
        <f t="shared" si="15"/>
        <v>25.355</v>
      </c>
      <c r="X11" s="18">
        <f t="shared" si="11"/>
        <v>87.556694931966078</v>
      </c>
      <c r="Y11" s="18">
        <f t="shared" si="12"/>
        <v>6.7245119305856829</v>
      </c>
      <c r="Z11" s="19">
        <f t="shared" si="13"/>
        <v>5.7187931374482348</v>
      </c>
      <c r="AA11" s="15">
        <f t="shared" si="14"/>
        <v>99.999999999999986</v>
      </c>
      <c r="AC11">
        <f>(-1.773*J11)+(0.607*C11)+(0.76*D11)+(-1.5*F11)+(0.616*I11)+(0.509*H11)+(-1.224*E11)+(-9.09)</f>
        <v>5.9164161999999969</v>
      </c>
      <c r="AD11">
        <f>(0.445*J11)+(0.07*C11)+(-0.25*D11)+(-1.142*F11)+(0.438*I11)+(1.475*H11)+(-1.426*E11)+(-6.861)</f>
        <v>-7.2197389999999988</v>
      </c>
      <c r="AF11">
        <f>(-0.0447*B11)+(-0.972*J11)+(0.008*C11)+(-0.267*D11)+(3.082*K11)+(0.14*F11)+(0.195*I11)+(0.719*H11)+(0.031*E11)+(7.51*G11)</f>
        <v>-2.7645871250000003</v>
      </c>
      <c r="AG11">
        <f>(-0.0421*B11)+(1.988*J11)+(-0.526*C11)+(-0.551*D11)+(2.72*K11)+(0.881*F11)+(-0.907*I11)+(-0.177*H11)+(-1.84*E11)+(7.244*G11)</f>
        <v>-16.749484800000001</v>
      </c>
      <c r="AI11">
        <f>(-0.395*LN(B11))+(0.206*LN(J11))-(0.316*(C11))+(0.16*LN(D11))+(0.246*LN(F11))+(0.368*LN(I11))+(0.073*LN(H11))-(0.342*LN(E11))+(2.266)</f>
        <v>-7.4753217062452588</v>
      </c>
      <c r="AJ11">
        <f>(0.191*LN(B11))-(0.397*LN(J11))+(0.02*(C11))-(0.375*LN(D11))-(0.243*LN(F11))+(0.079*LN(I11))+(0.392*LN(H11))+(0.333*LN(E11))-(0.892)</f>
        <v>0.38263361689193076</v>
      </c>
      <c r="AK11">
        <f>(0.203*LN(B11))+(0.191*LN(J11))+(0.296*(C11))+(0.215*LN(D11))-(0.002*LN(F11))-(0.448*LN(I11))-(0.464*LN(H11))+(0.008*LN(E11))-(1.374)</f>
        <v>7.0899763763056836</v>
      </c>
      <c r="AM11">
        <f t="shared" si="4"/>
        <v>5.6690336194735534E-4</v>
      </c>
      <c r="AN11">
        <f t="shared" si="5"/>
        <v>1.4661407624421066</v>
      </c>
      <c r="AO11">
        <f t="shared" si="6"/>
        <v>1199.8794546905706</v>
      </c>
      <c r="AP11" s="12">
        <f t="shared" si="7"/>
        <v>1201.3461623563746</v>
      </c>
      <c r="AQ11" s="18">
        <f t="shared" si="8"/>
        <v>4.7189010104748281E-5</v>
      </c>
      <c r="AR11" s="18">
        <f t="shared" si="9"/>
        <v>0.12204149048650155</v>
      </c>
      <c r="AS11" s="18">
        <f t="shared" si="10"/>
        <v>99.877911320503401</v>
      </c>
      <c r="AT11" s="20">
        <f t="shared" si="0"/>
        <v>100</v>
      </c>
      <c r="AU11" s="20"/>
      <c r="AV11" s="20"/>
      <c r="AW11">
        <f>(-0.263*LN(J11/B11))+(0.604*LN(C11/B11))+(-1.725*LN(D11/B11))+(0.66*LN(K11/B11))+(2.191*LN(F11/B11))+(0.144*LN(I11/B11))+(-1.304*LN(H11/B11))+(0.054*LN(E11/B11))+(-0.33*LN(G11/B11))+1.588</f>
        <v>0.36853775946971723</v>
      </c>
      <c r="AX11">
        <f>(-1.196*LN(J11/B11))+(1.064*LN(C11/B11))+(-0.303*LN(D11/B11))+(0.436*LN(K11/B11))+(0.838*LN(F11/B11))+(-0.407*LN(I11/B11))+(1.021*LN(H11/B11))+(-1.706*LN(E11/B11))+(-0.126*LN(G11/B11))-1.068</f>
        <v>6.3804043839588935</v>
      </c>
      <c r="AZ11">
        <f>(0.608*LN(J11/B11))+(-1.854*LN(C11/B11))+(0.299*LN(D11/B11))+(-0.55*LN(K11/B11))+(0.12*LN(F11/B11))+(0.194*LN(I11/B11))+(-1.51*LN(H11/B11))+(1.941*LN(E11/B11))+(0.003*LN(G11/B11))-0.294</f>
        <v>-2.9888979924862165</v>
      </c>
      <c r="BA11">
        <f>(-0.554*LN(J11/B11))+(-0.995*LN(C11/B11))+(0.299*LN(D11/B11))+(-1.391*LN(K11/B11))+(-1.034*LN(F11/B11))+(0.255*LN(I11/B11))+(0.713*LN(H11/B11))+(0.33*LN(E11/B11))+(0.637*LN(G11/B11))-3.631</f>
        <v>3.6902744546479807</v>
      </c>
    </row>
    <row r="12" spans="1:53" ht="20.100000000000001" customHeight="1" x14ac:dyDescent="0.2">
      <c r="A12" s="4" t="s">
        <v>18</v>
      </c>
      <c r="B12" s="6">
        <v>72.599999999999994</v>
      </c>
      <c r="C12" s="6">
        <v>18.100000000000001</v>
      </c>
      <c r="D12" s="3">
        <v>3.91</v>
      </c>
      <c r="E12" s="3">
        <v>2.2200000000000002</v>
      </c>
      <c r="F12" s="3">
        <v>1.04</v>
      </c>
      <c r="G12" s="3">
        <v>0.14799999999999999</v>
      </c>
      <c r="H12" s="3">
        <v>1.34</v>
      </c>
      <c r="I12" s="3">
        <v>0.41599999999999998</v>
      </c>
      <c r="J12" s="3">
        <v>0.67600000000000005</v>
      </c>
      <c r="K12" s="3">
        <v>6.9199999999999998E-2</v>
      </c>
      <c r="L12" s="7">
        <f t="shared" si="1"/>
        <v>0.62909090909090903</v>
      </c>
      <c r="M12" s="7">
        <f>K12/0.1</f>
        <v>0.69199999999999995</v>
      </c>
      <c r="N12" s="8">
        <f>(C12/(C12+I12+H12+E12))*100</f>
        <v>81.989490849791636</v>
      </c>
      <c r="O12">
        <f>((D12+E12+H12+I12+F12+K12)/C12)</f>
        <v>0.49697237569060781</v>
      </c>
      <c r="Q12">
        <f t="shared" si="2"/>
        <v>0.60360360360360354</v>
      </c>
      <c r="R12">
        <f t="shared" si="3"/>
        <v>18.56777493606138</v>
      </c>
      <c r="T12" s="6">
        <v>22.1</v>
      </c>
      <c r="U12" s="15">
        <f>I11+H11</f>
        <v>0.67</v>
      </c>
      <c r="V12" s="3">
        <v>0.65900000000000003</v>
      </c>
      <c r="W12" s="17">
        <f t="shared" si="15"/>
        <v>23.429000000000002</v>
      </c>
      <c r="X12" s="18">
        <f t="shared" si="11"/>
        <v>94.327542788851432</v>
      </c>
      <c r="Y12" s="18">
        <f t="shared" si="12"/>
        <v>2.8597037859063552</v>
      </c>
      <c r="Z12" s="19">
        <f t="shared" si="13"/>
        <v>2.8127534252422213</v>
      </c>
      <c r="AA12" s="15">
        <f t="shared" si="14"/>
        <v>100.00000000000001</v>
      </c>
      <c r="AC12">
        <f>(-1.773*J12)+(0.607*C12)+(0.76*D12)+(-1.5*F12)+(0.616*I12)+(0.509*H12)+(-1.224*E12)+(-9.09)</f>
        <v>0.33078800000000008</v>
      </c>
      <c r="AD12">
        <f>(0.445*J12)+(0.07*C12)+(-0.25*D12)+(-1.142*F12)+(0.438*I12)+(1.475*H12)+(-1.426*E12)+(-6.861)</f>
        <v>-8.4653720000000003</v>
      </c>
      <c r="AF12">
        <f>(-0.0447*B12)+(-0.972*J12)+(0.008*C12)+(-0.267*D12)+(3.082*K12)+(0.14*F12)+(0.195*I12)+(0.719*H12)+(0.031*E12)+(7.51*G12)</f>
        <v>-2.2177075999999989</v>
      </c>
      <c r="AG12">
        <f>(-0.0421*B12)+(1.988*J12)+(-0.526*C12)+(-0.551*D12)+(2.72*K12)+(0.881*F12)+(-0.907*I12)+(-0.177*H12)+(-1.84*E12)+(7.244*G12)</f>
        <v>-15.910298000000001</v>
      </c>
      <c r="AI12">
        <f>(-0.395*LN(B12))+(0.206*LN(J12))-(0.316*(C12))+(0.16*LN(D12))+(0.246*LN(F12))+(0.368*LN(I12))+(0.073*LN(H12))-(0.342*LN(E12))+(2.266)</f>
        <v>-5.5731530287157334</v>
      </c>
      <c r="AJ12">
        <f>(0.191*LN(B12))-(0.397*LN(J12))+(0.02*(C12))-(0.375*LN(D12))-(0.243*LN(F12))+(0.079*LN(I12))+(0.392*LN(H12))+(0.333*LN(E12))-(0.892)</f>
        <v>0.23402919951521095</v>
      </c>
      <c r="AK12">
        <f>(0.203*LN(B12))+(0.191*LN(J12))+(0.296*(C12))+(0.215*LN(D12))-(0.002*LN(F12))-(0.448*LN(I12))-(0.464*LN(H12))+(0.008*LN(E12))-(1.374)</f>
        <v>5.3352503174286454</v>
      </c>
      <c r="AM12">
        <f t="shared" si="4"/>
        <v>3.7984847995929608E-3</v>
      </c>
      <c r="AN12">
        <f t="shared" si="5"/>
        <v>1.2636813905530535</v>
      </c>
      <c r="AO12">
        <f t="shared" si="6"/>
        <v>207.52468935347551</v>
      </c>
      <c r="AP12" s="12">
        <f t="shared" si="7"/>
        <v>208.79216922882816</v>
      </c>
      <c r="AQ12" s="18">
        <f t="shared" si="8"/>
        <v>1.8192659301460527E-3</v>
      </c>
      <c r="AR12" s="18">
        <f t="shared" si="9"/>
        <v>0.60523409245684279</v>
      </c>
      <c r="AS12" s="18">
        <f t="shared" si="10"/>
        <v>99.392946641613008</v>
      </c>
      <c r="AT12" s="20">
        <f t="shared" si="0"/>
        <v>100</v>
      </c>
      <c r="AU12" s="20"/>
      <c r="AV12" s="20"/>
      <c r="AW12">
        <f>(-0.263*LN(J12/B12))+(0.604*LN(C12/B12))+(-1.725*LN(D12/B12))+(0.66*LN(K12/B12))+(2.191*LN(F12/B12))+(0.144*LN(I12/B12))+(-1.304*LN(H12/B12))+(0.054*LN(E12/B12))+(-0.33*LN(G12/B12))+1.588</f>
        <v>-0.55598422391430269</v>
      </c>
      <c r="AX12">
        <f>(-1.196*LN(J12/B12))+(1.064*LN(C12/B12))+(-0.303*LN(D12/B12))+(0.436*LN(K12/B12))+(0.838*LN(F12/B12))+(-0.407*LN(I12/B12))+(1.021*LN(H12/B12))+(-1.706*LN(E12/B12))+(-0.126*LN(G12/B12))-1.068</f>
        <v>2.0967909261337225</v>
      </c>
      <c r="AZ12">
        <f>(0.608*LN(J12/B12))+(-1.854*LN(C12/B12))+(0.299*LN(D12/B12))+(-0.55*LN(K12/B12))+(0.12*LN(F12/B12))+(0.194*LN(I12/B12))+(-1.51*LN(H12/B12))+(1.941*LN(E12/B12))+(0.003*LN(G12/B12))-0.294</f>
        <v>0.11981440038894381</v>
      </c>
      <c r="BA12">
        <f>(-0.554*LN(J12/B12))+(-0.995*LN(C12/B12))+(0.299*LN(D12/B12))+(-1.391*LN(K12/B12))+(-1.034*LN(F12/B12))+(0.255*LN(I12/B12))+(0.713*LN(H12/B12))+(0.33*LN(E12/B12))+(0.637*LN(G12/B12))-3.631</f>
        <v>4.2736769567123432</v>
      </c>
    </row>
    <row r="13" spans="1:53" ht="20.100000000000001" customHeight="1" x14ac:dyDescent="0.2">
      <c r="A13" s="4" t="s">
        <v>19</v>
      </c>
      <c r="B13" s="6">
        <v>71.5</v>
      </c>
      <c r="C13" s="6">
        <v>22.8</v>
      </c>
      <c r="D13" s="3">
        <v>3</v>
      </c>
      <c r="E13" s="3">
        <v>0.81899999999999995</v>
      </c>
      <c r="F13" s="3">
        <v>1.32</v>
      </c>
      <c r="G13" s="3">
        <v>0.157</v>
      </c>
      <c r="H13" s="3">
        <v>0.65</v>
      </c>
      <c r="I13" s="3">
        <v>0.16300000000000001</v>
      </c>
      <c r="J13" s="3">
        <v>0.20799999999999999</v>
      </c>
      <c r="K13" s="3">
        <v>8.8000000000000005E-3</v>
      </c>
      <c r="L13" s="7">
        <f t="shared" si="1"/>
        <v>0.08</v>
      </c>
      <c r="M13" s="7">
        <f>K13/0.1</f>
        <v>8.7999999999999995E-2</v>
      </c>
      <c r="N13" s="8">
        <f>(C13/(C13+I13+H13+E13))*100</f>
        <v>93.320235756385074</v>
      </c>
      <c r="O13">
        <f>((D13+E13+H13+I13+F13+K13)/C13)</f>
        <v>0.26143859649122808</v>
      </c>
      <c r="Q13">
        <f t="shared" si="2"/>
        <v>0.79365079365079372</v>
      </c>
      <c r="R13">
        <f t="shared" si="3"/>
        <v>23.833333333333332</v>
      </c>
      <c r="T13" s="6">
        <v>18.100000000000001</v>
      </c>
      <c r="U13" s="15">
        <f>I12+H12</f>
        <v>1.756</v>
      </c>
      <c r="V13" s="3">
        <v>2.2200000000000002</v>
      </c>
      <c r="W13" s="17">
        <f t="shared" si="15"/>
        <v>22.076000000000001</v>
      </c>
      <c r="X13" s="18">
        <f t="shared" si="11"/>
        <v>81.989490849791636</v>
      </c>
      <c r="Y13" s="18">
        <f t="shared" si="12"/>
        <v>7.9543395542670776</v>
      </c>
      <c r="Z13" s="19">
        <f t="shared" si="13"/>
        <v>10.056169595941295</v>
      </c>
      <c r="AA13" s="15">
        <f t="shared" si="14"/>
        <v>100.00000000000001</v>
      </c>
      <c r="AC13">
        <f>(-1.773*J13)+(0.607*C13)+(0.76*D13)+(-1.5*F13)+(0.616*I13)+(0.509*H13)+(-1.224*E13)+(-9.09)</f>
        <v>4.1096179999999993</v>
      </c>
      <c r="AD13">
        <f>(0.445*J13)+(0.07*C13)+(-0.25*D13)+(-1.142*F13)+(0.438*I13)+(1.475*H13)+(-1.426*E13)+(-6.861)</f>
        <v>-7.5676299999999994</v>
      </c>
      <c r="AF13">
        <f>(-0.0447*B13)+(-0.972*J13)+(0.008*C13)+(-0.267*D13)+(3.082*K13)+(0.14*F13)+(0.195*I13)+(0.719*H13)+(0.031*E13)+(7.51*G13)</f>
        <v>-2.1013103999999991</v>
      </c>
      <c r="AG13">
        <f>(-0.0421*B13)+(1.988*J13)+(-0.526*C13)+(-0.551*D13)+(2.72*K13)+(0.881*F13)+(-0.907*I13)+(-0.177*H13)+(-1.84*E13)+(7.244*G13)</f>
        <v>-15.688133000000001</v>
      </c>
      <c r="AI13">
        <f>(-0.395*LN(B13))+(0.206*LN(J13))-(0.316*(C13))+(0.16*LN(D13))+(0.246*LN(F13))+(0.368*LN(I13))+(0.073*LN(H13))-(0.342*LN(E13))+(2.266)</f>
        <v>-7.3354333352024064</v>
      </c>
      <c r="AJ13">
        <f>(0.191*LN(B13))-(0.397*LN(J13))+(0.02*(C13))-(0.375*LN(D13))-(0.243*LN(F13))+(0.079*LN(I13))+(0.392*LN(H13))+(0.333*LN(E13))-(0.892)</f>
        <v>0.1447805085011783</v>
      </c>
      <c r="AK13">
        <f>(0.203*LN(B13))+(0.191*LN(J13))+(0.296*(C13))+(0.215*LN(D13))-(0.002*LN(F13))-(0.448*LN(I13))-(0.464*LN(H13))+(0.008*LN(E13))-(1.374)</f>
        <v>7.188243654345337</v>
      </c>
      <c r="AM13">
        <f t="shared" si="4"/>
        <v>6.5202129521231783E-4</v>
      </c>
      <c r="AN13">
        <f t="shared" si="5"/>
        <v>1.1557858572549897</v>
      </c>
      <c r="AO13">
        <f t="shared" si="6"/>
        <v>1323.7761541559614</v>
      </c>
      <c r="AP13" s="12">
        <f t="shared" si="7"/>
        <v>1324.9325920345116</v>
      </c>
      <c r="AQ13" s="18">
        <f t="shared" si="8"/>
        <v>4.9211657946394158E-5</v>
      </c>
      <c r="AR13" s="18">
        <f t="shared" si="9"/>
        <v>8.7233559216791004E-2</v>
      </c>
      <c r="AS13" s="18">
        <f t="shared" si="10"/>
        <v>99.912717229125263</v>
      </c>
      <c r="AT13" s="20">
        <f t="shared" si="0"/>
        <v>100.00000000000001</v>
      </c>
      <c r="AU13" s="20"/>
      <c r="AV13" s="20"/>
      <c r="AW13">
        <f>(-0.263*LN(J13/B13))+(0.604*LN(C13/B13))+(-1.725*LN(D13/B13))+(0.66*LN(K13/B13))+(2.191*LN(F13/B13))+(0.144*LN(I13/B13))+(-1.304*LN(H13/B13))+(0.054*LN(E13/B13))+(-0.33*LN(G13/B13))+1.588</f>
        <v>0.24731252826541494</v>
      </c>
      <c r="AX13">
        <f>(-1.196*LN(J13/B13))+(1.064*LN(C13/B13))+(-0.303*LN(D13/B13))+(0.436*LN(K13/B13))+(0.838*LN(F13/B13))+(-0.407*LN(I13/B13))+(1.021*LN(H13/B13))+(-1.706*LN(E13/B13))+(-0.126*LN(G13/B13))-1.068</f>
        <v>4.4636545968268422</v>
      </c>
      <c r="AZ13">
        <f>(0.608*LN(J13/B13))+(-1.854*LN(C13/B13))+(0.299*LN(D13/B13))+(-0.55*LN(K13/B13))+(0.12*LN(F13/B13))+(0.194*LN(I13/B13))+(-1.51*LN(H13/B13))+(1.941*LN(E13/B13))+(0.003*LN(G13/B13))-0.294</f>
        <v>-0.97730096171343139</v>
      </c>
      <c r="BA13">
        <f>(-0.554*LN(J13/B13))+(-0.995*LN(C13/B13))+(0.299*LN(D13/B13))+(-1.391*LN(K13/B13))+(-1.034*LN(F13/B13))+(0.255*LN(I13/B13))+(0.713*LN(H13/B13))+(0.33*LN(E13/B13))+(0.637*LN(G13/B13))-3.631</f>
        <v>6.1670464215417606</v>
      </c>
    </row>
    <row r="14" spans="1:53" ht="20.100000000000001" customHeight="1" x14ac:dyDescent="0.2">
      <c r="A14" s="4" t="s">
        <v>20</v>
      </c>
      <c r="B14" s="6">
        <v>73.099999999999994</v>
      </c>
      <c r="C14" s="6">
        <v>22.3</v>
      </c>
      <c r="D14" s="3">
        <v>1.92</v>
      </c>
      <c r="E14" s="3">
        <v>1</v>
      </c>
      <c r="F14" s="3">
        <v>1.07</v>
      </c>
      <c r="G14" s="3">
        <v>0.13300000000000001</v>
      </c>
      <c r="H14" s="3">
        <v>0.78</v>
      </c>
      <c r="I14" s="3">
        <v>6.8500000000000005E-2</v>
      </c>
      <c r="J14" s="3">
        <v>0.29899999999999999</v>
      </c>
      <c r="K14" s="3">
        <v>2.87E-2</v>
      </c>
      <c r="L14" s="7">
        <f t="shared" si="1"/>
        <v>0.26090909090909092</v>
      </c>
      <c r="M14" s="7">
        <f>K14/0.1</f>
        <v>0.28699999999999998</v>
      </c>
      <c r="N14" s="8">
        <f>(C14/(C14+I14+H14+E14))*100</f>
        <v>92.345280245149794</v>
      </c>
      <c r="O14">
        <f>((D14+E14+H14+I14+F14+K14)/C14)</f>
        <v>0.21826008968609867</v>
      </c>
      <c r="Q14">
        <f t="shared" si="2"/>
        <v>0.78</v>
      </c>
      <c r="R14">
        <f t="shared" si="3"/>
        <v>38.072916666666664</v>
      </c>
      <c r="T14" s="6">
        <v>22.8</v>
      </c>
      <c r="U14" s="15">
        <f>I13+H13</f>
        <v>0.81300000000000006</v>
      </c>
      <c r="V14" s="3">
        <v>0.81899999999999995</v>
      </c>
      <c r="W14" s="17">
        <f t="shared" si="15"/>
        <v>24.431999999999999</v>
      </c>
      <c r="X14" s="18">
        <f t="shared" si="11"/>
        <v>93.320235756385074</v>
      </c>
      <c r="Y14" s="18">
        <f t="shared" si="12"/>
        <v>3.3276031434184681</v>
      </c>
      <c r="Z14" s="19">
        <f t="shared" si="13"/>
        <v>3.3521611001964637</v>
      </c>
      <c r="AA14" s="15">
        <f t="shared" si="14"/>
        <v>100.00000000000001</v>
      </c>
      <c r="AC14">
        <f>(-1.773*J14)+(0.607*C14)+(0.76*D14)+(-1.5*F14)+(0.616*I14)+(0.509*H14)+(-1.224*E14)+(-9.09)</f>
        <v>2.9853889999999996</v>
      </c>
      <c r="AD14">
        <f>(0.445*J14)+(0.07*C14)+(-0.25*D14)+(-1.142*F14)+(0.438*I14)+(1.475*H14)+(-1.426*E14)+(-6.861)</f>
        <v>-7.1143819999999991</v>
      </c>
      <c r="AF14">
        <f>(-0.0447*B14)+(-0.972*J14)+(0.008*C14)+(-0.267*D14)+(3.082*K14)+(0.14*F14)+(0.195*I14)+(0.719*H14)+(0.031*E14)+(7.51*G14)</f>
        <v>-2.0501770999999991</v>
      </c>
      <c r="AG14">
        <f>(-0.0421*B14)+(1.988*J14)+(-0.526*C14)+(-0.551*D14)+(2.72*K14)+(0.881*F14)+(-0.907*I14)+(-0.177*H14)+(-1.84*E14)+(7.244*G14)</f>
        <v>-15.326821500000001</v>
      </c>
      <c r="AI14">
        <f>(-0.395*LN(B14))+(0.206*LN(J14))-(0.316*(C14))+(0.16*LN(D14))+(0.246*LN(F14))+(0.368*LN(I14))+(0.073*LN(H14))-(0.342*LN(E14))+(2.266)</f>
        <v>-7.6084791625649704</v>
      </c>
      <c r="AJ14">
        <f>(0.191*LN(B14))-(0.397*LN(J14))+(0.02*(C14))-(0.375*LN(D14))-(0.243*LN(F14))+(0.079*LN(I14))+(0.392*LN(H14))+(0.333*LN(E14))-(0.892)</f>
        <v>0.2827893148177153</v>
      </c>
      <c r="AK14">
        <f>(0.203*LN(B14))+(0.191*LN(J14))+(0.296*(C14))+(0.215*LN(D14))-(0.002*LN(F14))-(0.448*LN(I14))-(0.464*LN(H14))+(0.008*LN(E14))-(1.374)</f>
        <v>7.3238981382033881</v>
      </c>
      <c r="AM14">
        <f t="shared" si="4"/>
        <v>4.9622596391832741E-4</v>
      </c>
      <c r="AN14">
        <f t="shared" si="5"/>
        <v>1.3268255898760957</v>
      </c>
      <c r="AO14">
        <f t="shared" si="6"/>
        <v>1516.102442614711</v>
      </c>
      <c r="AP14" s="12">
        <f t="shared" si="7"/>
        <v>1517.4297644305509</v>
      </c>
      <c r="AQ14" s="18">
        <f t="shared" si="8"/>
        <v>3.2701741823585962E-5</v>
      </c>
      <c r="AR14" s="18">
        <f t="shared" si="9"/>
        <v>8.7439011740620257E-2</v>
      </c>
      <c r="AS14" s="18">
        <f t="shared" si="10"/>
        <v>99.912528286517571</v>
      </c>
      <c r="AT14" s="20">
        <f t="shared" si="0"/>
        <v>100</v>
      </c>
      <c r="AU14" s="20"/>
      <c r="AV14" s="20"/>
      <c r="AW14">
        <f>(-0.263*LN(J14/B14))+(0.604*LN(C14/B14))+(-1.725*LN(D14/B14))+(0.66*LN(K14/B14))+(2.191*LN(F14/B14))+(0.144*LN(I14/B14))+(-1.304*LN(H14/B14))+(0.054*LN(E14/B14))+(-0.33*LN(G14/B14))+1.588</f>
        <v>0.93074436420072537</v>
      </c>
      <c r="AX14">
        <f>(-1.196*LN(J14/B14))+(1.064*LN(C14/B14))+(-0.303*LN(D14/B14))+(0.436*LN(K14/B14))+(0.838*LN(F14/B14))+(-0.407*LN(I14/B14))+(1.021*LN(H14/B14))+(-1.706*LN(E14/B14))+(-0.126*LN(G14/B14))-1.068</f>
        <v>4.7083464280899303</v>
      </c>
      <c r="AZ14">
        <f>(0.608*LN(J14/B14))+(-1.854*LN(C14/B14))+(0.299*LN(D14/B14))+(-0.55*LN(K14/B14))+(0.12*LN(F14/B14))+(0.194*LN(I14/B14))+(-1.51*LN(H14/B14))+(1.941*LN(E14/B14))+(0.003*LN(G14/B14))-0.294</f>
        <v>-1.5642078612658783</v>
      </c>
      <c r="BA14">
        <f>(-0.554*LN(J14/B14))+(-0.995*LN(C14/B14))+(0.299*LN(D14/B14))+(-1.391*LN(K14/B14))+(-1.034*LN(F14/B14))+(0.255*LN(I14/B14))+(0.713*LN(H14/B14))+(0.33*LN(E14/B14))+(0.637*LN(G14/B14))-3.631</f>
        <v>4.3350225230688277</v>
      </c>
    </row>
    <row r="15" spans="1:53" ht="20.100000000000001" customHeight="1" x14ac:dyDescent="0.2">
      <c r="A15" s="4" t="s">
        <v>21</v>
      </c>
      <c r="B15" s="6">
        <v>65.5</v>
      </c>
      <c r="C15" s="6">
        <v>18.3</v>
      </c>
      <c r="D15" s="3">
        <v>5.24</v>
      </c>
      <c r="E15" s="3">
        <v>2.41</v>
      </c>
      <c r="F15" s="3">
        <v>0.89800000000000002</v>
      </c>
      <c r="G15" s="3">
        <v>0.48799999999999999</v>
      </c>
      <c r="H15" s="3">
        <v>1.65</v>
      </c>
      <c r="I15" s="3">
        <v>1.72</v>
      </c>
      <c r="J15" s="3">
        <v>0.625</v>
      </c>
      <c r="K15" s="3">
        <v>1.28</v>
      </c>
      <c r="L15" s="7">
        <f t="shared" si="1"/>
        <v>11.636363636363637</v>
      </c>
      <c r="M15" s="7">
        <f>K15/0.1</f>
        <v>12.799999999999999</v>
      </c>
      <c r="N15" s="8">
        <f>(C15/(C15+I15+H15+E15))*100</f>
        <v>75.996677740863788</v>
      </c>
      <c r="O15">
        <f>((D15+E15+H15+I15+F15+K15)/C15)</f>
        <v>0.72120218579234974</v>
      </c>
      <c r="Q15">
        <f t="shared" si="2"/>
        <v>0.68464730290456421</v>
      </c>
      <c r="R15">
        <f t="shared" si="3"/>
        <v>12.5</v>
      </c>
      <c r="T15" s="6">
        <v>22.3</v>
      </c>
      <c r="U15" s="15">
        <f>I14+H14</f>
        <v>0.84850000000000003</v>
      </c>
      <c r="V15" s="3">
        <v>1</v>
      </c>
      <c r="W15" s="17">
        <f t="shared" si="15"/>
        <v>24.148500000000002</v>
      </c>
      <c r="X15" s="18">
        <f t="shared" si="11"/>
        <v>92.345280245149794</v>
      </c>
      <c r="Y15" s="18">
        <f t="shared" si="12"/>
        <v>3.5136757976685926</v>
      </c>
      <c r="Z15" s="19">
        <f t="shared" si="13"/>
        <v>4.1410439571816049</v>
      </c>
      <c r="AA15" s="15">
        <f t="shared" si="14"/>
        <v>100</v>
      </c>
      <c r="AC15">
        <f>(-1.773*J15)+(0.607*C15)+(0.76*D15)+(-1.5*F15)+(0.616*I15)+(0.509*H15)+(-1.224*E15)+(-9.09)</f>
        <v>2.4949050000000028</v>
      </c>
      <c r="AD15">
        <f>(0.445*J15)+(0.07*C15)+(-0.25*D15)+(-1.142*F15)+(0.438*I15)+(1.475*H15)+(-1.426*E15)+(-6.861)</f>
        <v>-7.8869409999999993</v>
      </c>
      <c r="AF15">
        <f>(-0.0447*B15)+(-0.972*J15)+(0.008*C15)+(-0.267*D15)+(3.082*K15)+(0.14*F15)+(0.195*I15)+(0.719*H15)+(0.031*E15)+(7.51*G15)</f>
        <v>4.5439899999999991</v>
      </c>
      <c r="AG15">
        <f>(-0.0421*B15)+(1.988*J15)+(-0.526*C15)+(-0.551*D15)+(2.72*K15)+(0.881*F15)+(-0.907*I15)+(-0.177*H15)+(-1.84*E15)+(7.244*G15)</f>
        <v>-12.506770000000003</v>
      </c>
      <c r="AI15">
        <f>(-0.395*LN(B15))+(0.206*LN(J15))-(0.316*(C15))+(0.16*LN(D15))+(0.246*LN(F15))+(0.368*LN(I15))+(0.073*LN(H15))-(0.342*LN(E15))+(2.266)</f>
        <v>-5.0916854886664238</v>
      </c>
      <c r="AJ15">
        <f>(0.191*LN(B15))-(0.397*LN(J15))+(0.02*(C15))-(0.375*LN(D15))-(0.243*LN(F15))+(0.079*LN(I15))+(0.392*LN(H15))+(0.333*LN(E15))-(0.892)</f>
        <v>0.39644890113064901</v>
      </c>
      <c r="AK15">
        <f>(0.203*LN(B15))+(0.191*LN(J15))+(0.296*(C15))+(0.215*LN(D15))-(0.002*LN(F15))-(0.448*LN(I15))-(0.464*LN(H15))+(0.008*LN(E15))-(1.374)</f>
        <v>4.6900257764320354</v>
      </c>
      <c r="AM15">
        <f t="shared" si="4"/>
        <v>6.1476493566024401E-3</v>
      </c>
      <c r="AN15">
        <f t="shared" si="5"/>
        <v>1.4865364757008557</v>
      </c>
      <c r="AO15">
        <f t="shared" si="6"/>
        <v>108.85598569016979</v>
      </c>
      <c r="AP15" s="12">
        <f t="shared" si="7"/>
        <v>110.34866981522724</v>
      </c>
      <c r="AQ15" s="18">
        <f t="shared" si="8"/>
        <v>5.5711132421408793E-3</v>
      </c>
      <c r="AR15" s="18">
        <f t="shared" si="9"/>
        <v>1.3471267738795394</v>
      </c>
      <c r="AS15" s="18">
        <f t="shared" si="10"/>
        <v>98.647302112878322</v>
      </c>
      <c r="AT15" s="20">
        <f t="shared" si="0"/>
        <v>100.00000000000001</v>
      </c>
      <c r="AU15" s="20"/>
      <c r="AV15" s="20"/>
      <c r="AW15">
        <f>(-0.263*LN(J15/B15))+(0.604*LN(C15/B15))+(-1.725*LN(D15/B15))+(0.66*LN(K15/B15))+(2.191*LN(F15/B15))+(0.144*LN(I15/B15))+(-1.304*LN(H15/B15))+(0.054*LN(E15/B15))+(-0.33*LN(G15/B15))+1.588</f>
        <v>0.11712823536696249</v>
      </c>
      <c r="AX15">
        <f>(-1.196*LN(J15/B15))+(1.064*LN(C15/B15))+(-0.303*LN(D15/B15))+(0.436*LN(K15/B15))+(0.838*LN(F15/B15))+(-0.407*LN(I15/B15))+(1.021*LN(H15/B15))+(-1.706*LN(E15/B15))+(-0.126*LN(G15/B15))-1.068</f>
        <v>2.5679930211176054</v>
      </c>
      <c r="AZ15">
        <f>(0.608*LN(J15/B15))+(-1.854*LN(C15/B15))+(0.299*LN(D15/B15))+(-0.55*LN(K15/B15))+(0.12*LN(F15/B15))+(0.194*LN(I15/B15))+(-1.51*LN(H15/B15))+(1.941*LN(E15/B15))+(0.003*LN(G15/B15))-0.294</f>
        <v>-1.4360009298872058</v>
      </c>
      <c r="BA15">
        <f>(-0.554*LN(J15/B15))+(-0.995*LN(C15/B15))+(0.299*LN(D15/B15))+(-1.391*LN(K15/B15))+(-1.034*LN(F15/B15))+(0.255*LN(I15/B15))+(0.713*LN(H15/B15))+(0.33*LN(E15/B15))+(0.637*LN(G15/B15))-3.631</f>
        <v>1.6054966736263068</v>
      </c>
    </row>
    <row r="16" spans="1:53" ht="20.100000000000001" customHeight="1" x14ac:dyDescent="0.2">
      <c r="A16" s="4" t="s">
        <v>22</v>
      </c>
      <c r="B16" s="6">
        <v>69.2</v>
      </c>
      <c r="C16" s="6">
        <v>21.5</v>
      </c>
      <c r="D16" s="3">
        <v>2.08</v>
      </c>
      <c r="E16" s="3">
        <v>3.22</v>
      </c>
      <c r="F16" s="3">
        <v>1.73</v>
      </c>
      <c r="G16" s="3">
        <v>0.11799999999999999</v>
      </c>
      <c r="H16" s="3">
        <v>1.92</v>
      </c>
      <c r="I16" s="3">
        <v>0.51500000000000001</v>
      </c>
      <c r="J16" s="3">
        <v>0.89500000000000002</v>
      </c>
      <c r="K16" s="3">
        <v>4.9000000000000002E-2</v>
      </c>
      <c r="L16" s="7">
        <f t="shared" si="1"/>
        <v>0.44545454545454549</v>
      </c>
      <c r="M16" s="7">
        <f>K16/0.1</f>
        <v>0.49</v>
      </c>
      <c r="N16" s="8">
        <f>(C16/(C16+I16+H16+E16))*100</f>
        <v>79.175105873688082</v>
      </c>
      <c r="O16">
        <f>((D16+E16+H16+I16+F16+K16)/C16)</f>
        <v>0.44251162790697673</v>
      </c>
      <c r="Q16">
        <f t="shared" si="2"/>
        <v>0.59627329192546574</v>
      </c>
      <c r="R16">
        <f t="shared" si="3"/>
        <v>33.269230769230766</v>
      </c>
      <c r="T16" s="6">
        <v>18.3</v>
      </c>
      <c r="U16" s="15">
        <f>I15+H15</f>
        <v>3.37</v>
      </c>
      <c r="V16" s="3">
        <v>2.41</v>
      </c>
      <c r="W16" s="17">
        <f t="shared" si="15"/>
        <v>24.080000000000002</v>
      </c>
      <c r="X16" s="18">
        <f t="shared" si="11"/>
        <v>75.996677740863788</v>
      </c>
      <c r="Y16" s="18">
        <f t="shared" si="12"/>
        <v>13.99501661129568</v>
      </c>
      <c r="Z16" s="19">
        <f t="shared" si="13"/>
        <v>10.008305647840531</v>
      </c>
      <c r="AA16" s="15">
        <f t="shared" si="14"/>
        <v>100</v>
      </c>
      <c r="AC16">
        <f>(-1.773*J16)+(0.607*C16)+(0.76*D16)+(-1.5*F16)+(0.616*I16)+(0.509*H16)+(-1.224*E16)+(-9.09)</f>
        <v>-1.2872950000000003</v>
      </c>
      <c r="AD16">
        <f>(0.445*J16)+(0.07*C16)+(-0.25*D16)+(-1.142*F16)+(0.438*I16)+(1.475*H16)+(-1.426*E16)+(-6.861)</f>
        <v>-8.9875350000000012</v>
      </c>
      <c r="AF16">
        <f>(-0.0447*B16)+(-0.972*J16)+(0.008*C16)+(-0.267*D16)+(3.082*K16)+(0.14*F16)+(0.195*I16)+(0.719*H16)+(0.031*E16)+(7.51*G16)</f>
        <v>-1.4864170000000008</v>
      </c>
      <c r="AG16">
        <f>(-0.0421*B16)+(1.988*J16)+(-0.526*C16)+(-0.551*D16)+(2.72*K16)+(0.881*F16)+(-0.907*I16)+(-0.177*H16)+(-1.84*E16)+(7.244*G16)</f>
        <v>-17.808683000000002</v>
      </c>
      <c r="AI16">
        <f>(-0.395*LN(B16))+(0.206*LN(J16))-(0.316*(C16))+(0.16*LN(D16))+(0.246*LN(F16))+(0.368*LN(I16))+(0.073*LN(H16))-(0.342*LN(E16))+(2.266)</f>
        <v>-6.5689597223630685</v>
      </c>
      <c r="AJ16">
        <f>(0.191*LN(B16))-(0.397*LN(J16))+(0.02*(C16))-(0.375*LN(D16))-(0.243*LN(F16))+(0.079*LN(I16))+(0.392*LN(H16))+(0.333*LN(E16))-(0.892)</f>
        <v>0.57616751572424751</v>
      </c>
      <c r="AK16">
        <f>(0.203*LN(B16))+(0.191*LN(J16))+(0.296*(C16))+(0.215*LN(D16))-(0.002*LN(F16))-(0.448*LN(I16))-(0.464*LN(H16))+(0.008*LN(E16))-(1.374)</f>
        <v>5.9892498593895063</v>
      </c>
      <c r="AM16">
        <f t="shared" si="4"/>
        <v>1.4032564293959661E-3</v>
      </c>
      <c r="AN16">
        <f t="shared" si="5"/>
        <v>1.7792065664168131</v>
      </c>
      <c r="AO16">
        <f t="shared" si="6"/>
        <v>399.11510515716907</v>
      </c>
      <c r="AP16" s="12">
        <f t="shared" si="7"/>
        <v>400.89571498001527</v>
      </c>
      <c r="AQ16" s="18">
        <f t="shared" si="8"/>
        <v>3.5003028891588892E-4</v>
      </c>
      <c r="AR16" s="18">
        <f t="shared" si="9"/>
        <v>0.44380782830405324</v>
      </c>
      <c r="AS16" s="18">
        <f t="shared" si="10"/>
        <v>99.555842141407041</v>
      </c>
      <c r="AT16" s="20">
        <f t="shared" si="0"/>
        <v>100</v>
      </c>
      <c r="AU16" s="20"/>
      <c r="AV16" s="20"/>
      <c r="AW16">
        <f>(-0.263*LN(J16/B16))+(0.604*LN(C16/B16))+(-1.725*LN(D16/B16))+(0.66*LN(K16/B16))+(2.191*LN(F16/B16))+(0.144*LN(I16/B16))+(-1.304*LN(H16/B16))+(0.054*LN(E16/B16))+(-0.33*LN(G16/B16))+1.588</f>
        <v>1.1082053888924737</v>
      </c>
      <c r="AX16">
        <f>(-1.196*LN(J16/B16))+(1.064*LN(C16/B16))+(-0.303*LN(D16/B16))+(0.436*LN(K16/B16))+(0.838*LN(F16/B16))+(-0.407*LN(I16/B16))+(1.021*LN(H16/B16))+(-1.706*LN(E16/B16))+(-0.126*LN(G16/B16))-1.068</f>
        <v>2.067787201386575</v>
      </c>
      <c r="AZ16">
        <f>(0.608*LN(J16/B16))+(-1.854*LN(C16/B16))+(0.299*LN(D16/B16))+(-0.55*LN(K16/B16))+(0.12*LN(F16/B16))+(0.194*LN(I16/B16))+(-1.51*LN(H16/B16))+(1.941*LN(E16/B16))+(0.003*LN(G16/B16))-0.294</f>
        <v>0.21702475479964961</v>
      </c>
      <c r="BA16">
        <f>(-0.554*LN(J16/B16))+(-0.995*LN(C16/B16))+(0.299*LN(D16/B16))+(-1.391*LN(K16/B16))+(-1.034*LN(F16/B16))+(0.255*LN(I16/B16))+(0.713*LN(H16/B16))+(0.33*LN(E16/B16))+(0.637*LN(G16/B16))-3.631</f>
        <v>3.9179856002541986</v>
      </c>
    </row>
    <row r="17" spans="1:53" ht="20.100000000000001" customHeight="1" x14ac:dyDescent="0.2">
      <c r="A17" s="4" t="s">
        <v>23</v>
      </c>
      <c r="B17" s="6">
        <v>71</v>
      </c>
      <c r="C17" s="6">
        <v>17.600000000000001</v>
      </c>
      <c r="D17" s="3">
        <v>4.8499999999999996</v>
      </c>
      <c r="E17" s="3">
        <v>2.98</v>
      </c>
      <c r="F17" s="3">
        <v>0.98099999999999998</v>
      </c>
      <c r="G17" s="3">
        <v>0.17</v>
      </c>
      <c r="H17" s="3">
        <v>1.9370000000000001</v>
      </c>
      <c r="I17" s="3">
        <v>0.93600000000000005</v>
      </c>
      <c r="J17" s="3">
        <v>0.81399999999999995</v>
      </c>
      <c r="K17" s="3">
        <v>4.4400000000000002E-2</v>
      </c>
      <c r="L17" s="7">
        <f t="shared" si="1"/>
        <v>0.40363636363636363</v>
      </c>
      <c r="M17" s="7">
        <f>K17/0.1</f>
        <v>0.44400000000000001</v>
      </c>
      <c r="N17" s="8">
        <f>(C17/(C17+I17+H17+E17))*100</f>
        <v>75.04370443013687</v>
      </c>
      <c r="O17">
        <f>((D17+E17+H17+I17+F17+K17)/C17)</f>
        <v>0.6663863636363635</v>
      </c>
      <c r="Q17">
        <f t="shared" si="2"/>
        <v>0.65</v>
      </c>
      <c r="R17">
        <f t="shared" si="3"/>
        <v>14.63917525773196</v>
      </c>
      <c r="T17" s="6">
        <v>21.5</v>
      </c>
      <c r="U17" s="15">
        <f>I16+H16</f>
        <v>2.4350000000000001</v>
      </c>
      <c r="V17" s="3">
        <v>3.22</v>
      </c>
      <c r="W17" s="17">
        <f t="shared" si="15"/>
        <v>27.154999999999998</v>
      </c>
      <c r="X17" s="18">
        <f t="shared" si="11"/>
        <v>79.175105873688096</v>
      </c>
      <c r="Y17" s="18">
        <f t="shared" si="12"/>
        <v>8.9670410605781647</v>
      </c>
      <c r="Z17" s="19">
        <f t="shared" si="13"/>
        <v>11.857853065733751</v>
      </c>
      <c r="AA17" s="15">
        <f t="shared" si="14"/>
        <v>100.00000000000001</v>
      </c>
      <c r="AC17">
        <f>(-1.773*J17)+(0.607*C17)+(0.76*D17)+(-1.5*F17)+(0.616*I17)+(0.509*H17)+(-1.224*E17)+(-9.09)</f>
        <v>0.27946699999999858</v>
      </c>
      <c r="AD17">
        <f>(0.445*J17)+(0.07*C17)+(-0.25*D17)+(-1.142*F17)+(0.438*I17)+(1.475*H17)+(-1.426*E17)+(-6.861)</f>
        <v>-8.5820089999999993</v>
      </c>
      <c r="AF17">
        <f>(-0.0447*B17)+(-0.972*J17)+(0.008*C17)+(-0.267*D17)+(3.082*K17)+(0.14*F17)+(0.195*I17)+(0.719*H17)+(0.031*E17)+(7.51*G17)</f>
        <v>-1.900574199999999</v>
      </c>
      <c r="AG17">
        <f>(-0.0421*B17)+(1.988*J17)+(-0.526*C17)+(-0.551*D17)+(2.72*K17)+(0.881*F17)+(-0.907*I17)+(-0.177*H17)+(-1.84*E17)+(7.244*G17)</f>
        <v>-17.759310000000003</v>
      </c>
      <c r="AI17">
        <f>(-0.395*LN(B17))+(0.206*LN(J17))-(0.316*(C17))+(0.16*LN(D17))+(0.246*LN(F17))+(0.368*LN(I17))+(0.073*LN(H17))-(0.342*LN(E17))+(2.266)</f>
        <v>-5.12334865232532</v>
      </c>
      <c r="AJ17">
        <f>(0.191*LN(B17))-(0.397*LN(J17))+(0.02*(C17))-(0.375*LN(D17))-(0.243*LN(F17))+(0.079*LN(I17))+(0.392*LN(H17))+(0.333*LN(E17))-(0.892)</f>
        <v>0.38596929309899608</v>
      </c>
      <c r="AK17">
        <f>(0.203*LN(B17))+(0.191*LN(J17))+(0.296*(C17))+(0.215*LN(D17))-(0.002*LN(F17))-(0.448*LN(I17))-(0.464*LN(H17))+(0.008*LN(E17))-(1.374)</f>
        <v>4.7327328534162785</v>
      </c>
      <c r="AM17">
        <f t="shared" si="4"/>
        <v>5.956044740657627E-3</v>
      </c>
      <c r="AN17">
        <f t="shared" si="5"/>
        <v>1.471039499056934</v>
      </c>
      <c r="AO17">
        <f t="shared" si="6"/>
        <v>113.60560597219842</v>
      </c>
      <c r="AP17" s="12">
        <f t="shared" si="7"/>
        <v>115.082601515996</v>
      </c>
      <c r="AQ17" s="18">
        <f t="shared" si="8"/>
        <v>5.1754519468607619E-3</v>
      </c>
      <c r="AR17" s="18">
        <f t="shared" si="9"/>
        <v>1.2782466503874312</v>
      </c>
      <c r="AS17" s="18">
        <f t="shared" si="10"/>
        <v>98.716577897665715</v>
      </c>
      <c r="AT17" s="20">
        <f t="shared" si="0"/>
        <v>99.999999999999986</v>
      </c>
      <c r="AU17" s="20"/>
      <c r="AV17" s="20"/>
      <c r="AW17">
        <f>(-0.263*LN(J17/B17))+(0.604*LN(C17/B17))+(-1.725*LN(D17/B17))+(0.66*LN(K17/B17))+(2.191*LN(F17/B17))+(0.144*LN(I17/B17))+(-1.304*LN(H17/B17))+(0.054*LN(E17/B17))+(-0.33*LN(G17/B17))+1.588</f>
        <v>-1.8070979117040897</v>
      </c>
      <c r="AX17">
        <f>(-1.196*LN(J17/B17))+(1.064*LN(C17/B17))+(-0.303*LN(D17/B17))+(0.436*LN(K17/B17))+(0.838*LN(F17/B17))+(-0.407*LN(I17/B17))+(1.021*LN(H17/B17))+(-1.706*LN(E17/B17))+(-0.126*LN(G17/B17))-1.068</f>
        <v>1.0550848213831077</v>
      </c>
      <c r="AZ17">
        <f>(0.608*LN(J17/B17))+(-1.854*LN(C17/B17))+(0.299*LN(D17/B17))+(-0.55*LN(K17/B17))+(0.12*LN(F17/B17))+(0.194*LN(I17/B17))+(-1.51*LN(H17/B17))+(1.941*LN(E17/B17))+(0.003*LN(G17/B17))-0.294</f>
        <v>0.74228989973249915</v>
      </c>
      <c r="BA17">
        <f>(-0.554*LN(J17/B17))+(-0.995*LN(C17/B17))+(0.299*LN(D17/B17))+(-1.391*LN(K17/B17))+(-1.034*LN(F17/B17))+(0.255*LN(I17/B17))+(0.713*LN(H17/B17))+(0.33*LN(E17/B17))+(0.637*LN(G17/B17))-3.631</f>
        <v>5.5568807447575317</v>
      </c>
    </row>
    <row r="18" spans="1:53" ht="20.100000000000001" customHeight="1" x14ac:dyDescent="0.2">
      <c r="A18" s="4" t="s">
        <v>24</v>
      </c>
      <c r="B18" s="6">
        <v>71.900000000000006</v>
      </c>
      <c r="C18" s="6">
        <v>23</v>
      </c>
      <c r="D18" s="3">
        <v>2.23</v>
      </c>
      <c r="E18" s="3">
        <v>1.32</v>
      </c>
      <c r="F18" s="3">
        <v>0.80200000000000005</v>
      </c>
      <c r="G18" s="3">
        <v>8.1900000000000001E-2</v>
      </c>
      <c r="H18" s="3">
        <v>0.8580000000000001</v>
      </c>
      <c r="I18" s="3">
        <v>0.2472</v>
      </c>
      <c r="J18" s="3">
        <v>0.432</v>
      </c>
      <c r="K18" s="3">
        <v>1.9300000000000001E-2</v>
      </c>
      <c r="L18" s="7">
        <f t="shared" si="1"/>
        <v>0.17545454545454547</v>
      </c>
      <c r="M18" s="7">
        <f>K18/0.1</f>
        <v>0.193</v>
      </c>
      <c r="N18" s="8">
        <f>(C18/(C18+I18+H18+E18))*100</f>
        <v>90.461431965136953</v>
      </c>
      <c r="O18">
        <f>((D18+E18+H18+I18+F18+K18)/C18)</f>
        <v>0.23810869565217394</v>
      </c>
      <c r="Q18">
        <f t="shared" si="2"/>
        <v>0.65</v>
      </c>
      <c r="R18">
        <f t="shared" si="3"/>
        <v>32.242152466367713</v>
      </c>
      <c r="T18" s="6">
        <v>17.600000000000001</v>
      </c>
      <c r="U18" s="15">
        <f>I17+H17</f>
        <v>2.8730000000000002</v>
      </c>
      <c r="V18" s="3">
        <v>2.98</v>
      </c>
      <c r="W18" s="17">
        <f t="shared" si="15"/>
        <v>23.453000000000003</v>
      </c>
      <c r="X18" s="18">
        <f t="shared" si="11"/>
        <v>75.04370443013687</v>
      </c>
      <c r="Y18" s="18">
        <f t="shared" si="12"/>
        <v>12.25003197885132</v>
      </c>
      <c r="Z18" s="19">
        <f t="shared" si="13"/>
        <v>12.70626359101181</v>
      </c>
      <c r="AA18" s="15">
        <f t="shared" si="14"/>
        <v>100</v>
      </c>
      <c r="AC18">
        <f>(-1.773*J18)+(0.607*C18)+(0.76*D18)+(-1.5*F18)+(0.616*I18)+(0.509*H18)+(-1.224*E18)+(-9.09)</f>
        <v>3.5701812000000022</v>
      </c>
      <c r="AD18">
        <f>(0.445*J18)+(0.07*C18)+(-0.25*D18)+(-1.142*F18)+(0.438*I18)+(1.475*H18)+(-1.426*E18)+(-6.861)</f>
        <v>-7.0406403999999991</v>
      </c>
      <c r="AF18">
        <f>(-0.0447*B18)+(-0.972*J18)+(0.008*C18)+(-0.267*D18)+(3.082*K18)+(0.14*F18)+(0.195*I18)+(0.719*H18)+(0.031*E18)+(7.51*G18)</f>
        <v>-2.5523863999999992</v>
      </c>
      <c r="AG18">
        <f>(-0.0421*B18)+(1.988*J18)+(-0.526*C18)+(-0.551*D18)+(2.72*K18)+(0.881*F18)+(-0.907*I18)+(-0.177*H18)+(-1.84*E18)+(7.244*G18)</f>
        <v>-16.947438800000004</v>
      </c>
      <c r="AI18">
        <f>(-0.395*LN(B18))+(0.206*LN(J18))-(0.316*(C18))+(0.16*LN(D18))+(0.246*LN(F18))+(0.368*LN(I18))+(0.073*LN(H18))-(0.342*LN(E18))+(2.266)</f>
        <v>-7.4100261379484902</v>
      </c>
      <c r="AJ18">
        <f>(0.191*LN(B18))-(0.397*LN(J18))+(0.02*(C18))-(0.375*LN(D18))-(0.243*LN(F18))+(0.079*LN(I18))+(0.392*LN(H18))+(0.333*LN(E18))-(0.892)</f>
        <v>0.39266725952196102</v>
      </c>
      <c r="AK18">
        <f>(0.203*LN(B18))+(0.191*LN(J18))+(0.296*(C18))+(0.215*LN(D18))-(0.002*LN(F18))-(0.448*LN(I18))-(0.464*LN(H18))+(0.008*LN(E18))-(1.374)</f>
        <v>7.0138297301279895</v>
      </c>
      <c r="AM18">
        <f t="shared" si="4"/>
        <v>6.0515487682133386E-4</v>
      </c>
      <c r="AN18">
        <f t="shared" si="5"/>
        <v>1.4809255434656545</v>
      </c>
      <c r="AO18">
        <f t="shared" si="6"/>
        <v>1111.9046560006964</v>
      </c>
      <c r="AP18" s="12">
        <f t="shared" si="7"/>
        <v>1113.3861866990389</v>
      </c>
      <c r="AQ18" s="18">
        <f t="shared" si="8"/>
        <v>5.4352648169229909E-5</v>
      </c>
      <c r="AR18" s="18">
        <f t="shared" si="9"/>
        <v>0.13301094994328017</v>
      </c>
      <c r="AS18" s="18">
        <f t="shared" si="10"/>
        <v>99.866934697408539</v>
      </c>
      <c r="AT18" s="20">
        <f t="shared" si="0"/>
        <v>100.00000000000001</v>
      </c>
      <c r="AU18" s="20"/>
      <c r="AV18" s="20"/>
      <c r="AW18">
        <f>(-0.263*LN(J18/B18))+(0.604*LN(C18/B18))+(-1.725*LN(D18/B18))+(0.66*LN(K18/B18))+(2.191*LN(F18/B18))+(0.144*LN(I18/B18))+(-1.304*LN(H18/B18))+(0.054*LN(E18/B18))+(-0.33*LN(G18/B18))+1.588</f>
        <v>-6.3092522073925128E-2</v>
      </c>
      <c r="AX18">
        <f>(-1.196*LN(J18/B18))+(1.064*LN(C18/B18))+(-0.303*LN(D18/B18))+(0.436*LN(K18/B18))+(0.838*LN(F18/B18))+(-0.407*LN(I18/B18))+(1.021*LN(H18/B18))+(-1.706*LN(E18/B18))+(-0.126*LN(G18/B18))-1.068</f>
        <v>2.9973331092273532</v>
      </c>
      <c r="AZ18">
        <f>(0.608*LN(J18/B18))+(-1.854*LN(C18/B18))+(0.299*LN(D18/B18))+(-0.55*LN(K18/B18))+(0.12*LN(F18/B18))+(0.194*LN(I18/B18))+(-1.51*LN(H18/B18))+(1.941*LN(E18/B18))+(0.003*LN(G18/B18))-0.294</f>
        <v>-0.53929978425959813</v>
      </c>
      <c r="BA18">
        <f>(-0.554*LN(J18/B18))+(-0.995*LN(C18/B18))+(0.299*LN(D18/B18))+(-1.391*LN(K18/B18))+(-1.034*LN(F18/B18))+(0.255*LN(I18/B18))+(0.713*LN(H18/B18))+(0.33*LN(E18/B18))+(0.637*LN(G18/B18))-3.631</f>
        <v>5.1443883915332318</v>
      </c>
    </row>
    <row r="19" spans="1:53" ht="20.100000000000001" customHeight="1" x14ac:dyDescent="0.2">
      <c r="A19" s="4" t="s">
        <v>25</v>
      </c>
      <c r="B19" s="6">
        <v>70.599999999999994</v>
      </c>
      <c r="C19" s="6">
        <v>20</v>
      </c>
      <c r="D19" s="3">
        <v>3.98</v>
      </c>
      <c r="E19" s="3">
        <v>2.74</v>
      </c>
      <c r="F19" s="3">
        <v>0.77300000000000002</v>
      </c>
      <c r="G19" s="3">
        <v>0.159</v>
      </c>
      <c r="H19" s="3">
        <v>1.7810000000000001</v>
      </c>
      <c r="I19" s="3">
        <v>0.72199999999999998</v>
      </c>
      <c r="J19" s="3">
        <v>0.79400000000000004</v>
      </c>
      <c r="K19" s="3">
        <v>4.0399999999999998E-2</v>
      </c>
      <c r="L19" s="7">
        <f t="shared" si="1"/>
        <v>0.36727272727272725</v>
      </c>
      <c r="M19" s="7">
        <f>K19/0.1</f>
        <v>0.40399999999999997</v>
      </c>
      <c r="N19" s="8">
        <f>(C19/(C19+I19+H19+E19))*100</f>
        <v>79.229885512815429</v>
      </c>
      <c r="O19">
        <f>((D19+E19+H19+I19+F19+K19)/C19)</f>
        <v>0.50182000000000004</v>
      </c>
      <c r="Q19">
        <f t="shared" si="2"/>
        <v>0.65</v>
      </c>
      <c r="R19">
        <f t="shared" si="3"/>
        <v>17.738693467336681</v>
      </c>
      <c r="T19" s="6">
        <v>23</v>
      </c>
      <c r="U19" s="15">
        <f>I18+H18</f>
        <v>1.1052000000000002</v>
      </c>
      <c r="V19" s="3">
        <v>1.32</v>
      </c>
      <c r="W19" s="17">
        <f t="shared" si="15"/>
        <v>25.4252</v>
      </c>
      <c r="X19" s="18">
        <f t="shared" si="11"/>
        <v>90.461431965136953</v>
      </c>
      <c r="Y19" s="18">
        <f t="shared" si="12"/>
        <v>4.3468684612117121</v>
      </c>
      <c r="Z19" s="19">
        <f t="shared" si="13"/>
        <v>5.1916995736513387</v>
      </c>
      <c r="AA19" s="15">
        <f t="shared" si="14"/>
        <v>100</v>
      </c>
      <c r="AC19">
        <f>(-1.773*J19)+(0.607*C19)+(0.76*D19)+(-1.5*F19)+(0.616*I19)+(0.509*H19)+(-1.224*E19)+(-9.09)</f>
        <v>1.5050590000000028</v>
      </c>
      <c r="AD19">
        <f>(0.445*J19)+(0.07*C19)+(-0.25*D19)+(-1.142*F19)+(0.438*I19)+(1.475*H19)+(-1.426*E19)+(-6.861)</f>
        <v>-7.949465</v>
      </c>
      <c r="AF19">
        <f>(-0.0447*B19)+(-0.972*J19)+(0.008*C19)+(-0.267*D19)+(3.082*K19)+(0.14*F19)+(0.195*I19)+(0.719*H19)+(0.031*E19)+(7.51*G19)</f>
        <v>-1.8971561999999993</v>
      </c>
      <c r="AG19">
        <f>(-0.0421*B19)+(1.988*J19)+(-0.526*C19)+(-0.551*D19)+(2.72*K19)+(0.881*F19)+(-0.907*I19)+(-0.177*H19)+(-1.84*E19)+(7.244*G19)</f>
        <v>-18.175761999999999</v>
      </c>
      <c r="AI19">
        <f>(-0.395*LN(B19))+(0.206*LN(J19))-(0.316*(C19))+(0.16*LN(D19))+(0.246*LN(F19))+(0.368*LN(I19))+(0.073*LN(H19))-(0.342*LN(E19))+(2.266)</f>
        <v>-6.0478358881354879</v>
      </c>
      <c r="AJ19">
        <f>(0.191*LN(B19))-(0.397*LN(J19))+(0.02*(C19))-(0.375*LN(D19))-(0.243*LN(F19))+(0.079*LN(I19))+(0.392*LN(H19))+(0.333*LN(E19))-(0.892)</f>
        <v>0.49342541910461513</v>
      </c>
      <c r="AK19">
        <f>(0.203*LN(B19))+(0.191*LN(J19))+(0.296*(C19))+(0.215*LN(D19))-(0.002*LN(F19))-(0.448*LN(I19))-(0.464*LN(H19))+(0.008*LN(E19))-(1.374)</f>
        <v>5.5497909098799756</v>
      </c>
      <c r="AM19">
        <f t="shared" si="4"/>
        <v>2.3629702090005519E-3</v>
      </c>
      <c r="AN19">
        <f t="shared" si="5"/>
        <v>1.6379171744516914</v>
      </c>
      <c r="AO19">
        <f t="shared" si="6"/>
        <v>257.18377569698674</v>
      </c>
      <c r="AP19" s="12">
        <f t="shared" si="7"/>
        <v>258.82405584164741</v>
      </c>
      <c r="AQ19" s="18">
        <f t="shared" si="8"/>
        <v>9.129639056603973E-4</v>
      </c>
      <c r="AR19" s="18">
        <f t="shared" si="9"/>
        <v>0.63283034844867536</v>
      </c>
      <c r="AS19" s="18">
        <f t="shared" si="10"/>
        <v>99.366256687645674</v>
      </c>
      <c r="AT19" s="20">
        <f t="shared" si="0"/>
        <v>100</v>
      </c>
      <c r="AU19" s="20"/>
      <c r="AV19" s="20"/>
      <c r="AW19">
        <f>(-0.263*LN(J19/B19))+(0.604*LN(C19/B19))+(-1.725*LN(D19/B19))+(0.66*LN(K19/B19))+(2.191*LN(F19/B19))+(0.144*LN(I19/B19))+(-1.304*LN(H19/B19))+(0.054*LN(E19/B19))+(-0.33*LN(G19/B19))+1.588</f>
        <v>-1.8769021010763449</v>
      </c>
      <c r="AX19">
        <f>(-1.196*LN(J19/B19))+(1.064*LN(C19/B19))+(-0.303*LN(D19/B19))+(0.436*LN(K19/B19))+(0.838*LN(F19/B19))+(-0.407*LN(I19/B19))+(1.021*LN(H19/B19))+(-1.706*LN(E19/B19))+(-0.126*LN(G19/B19))-1.068</f>
        <v>1.2093589400135532</v>
      </c>
      <c r="AZ19">
        <f>(0.608*LN(J19/B19))+(-1.854*LN(C19/B19))+(0.299*LN(D19/B19))+(-0.55*LN(K19/B19))+(0.12*LN(F19/B19))+(0.194*LN(I19/B19))+(-1.51*LN(H19/B19))+(1.941*LN(E19/B19))+(0.003*LN(G19/B19))-0.294</f>
        <v>0.36339848249281276</v>
      </c>
      <c r="BA19">
        <f>(-0.554*LN(J19/B19))+(-0.995*LN(C19/B19))+(0.299*LN(D19/B19))+(-1.391*LN(K19/B19))+(-1.034*LN(F19/B19))+(0.255*LN(I19/B19))+(0.713*LN(H19/B19))+(0.33*LN(E19/B19))+(0.637*LN(G19/B19))-3.631</f>
        <v>5.5558626448233728</v>
      </c>
    </row>
    <row r="20" spans="1:53" ht="20.100000000000001" customHeight="1" x14ac:dyDescent="0.2">
      <c r="A20" s="4" t="s">
        <v>26</v>
      </c>
      <c r="B20" s="6">
        <v>67.7</v>
      </c>
      <c r="C20" s="6">
        <v>19.600000000000001</v>
      </c>
      <c r="D20" s="3">
        <v>6.01</v>
      </c>
      <c r="E20" s="3">
        <v>2.54</v>
      </c>
      <c r="F20" s="3">
        <v>1.62</v>
      </c>
      <c r="G20" s="3">
        <v>0.26200000000000001</v>
      </c>
      <c r="H20" s="3">
        <v>1.651</v>
      </c>
      <c r="I20" s="3">
        <v>1.18</v>
      </c>
      <c r="J20" s="3">
        <v>0.79900000000000004</v>
      </c>
      <c r="K20" s="3">
        <v>7.3599999999999999E-2</v>
      </c>
      <c r="L20" s="7">
        <f t="shared" si="1"/>
        <v>0.66909090909090907</v>
      </c>
      <c r="M20" s="7">
        <f>K20/0.1</f>
        <v>0.73599999999999999</v>
      </c>
      <c r="N20" s="8">
        <f>(C20/(C20+I20+H20+E20))*100</f>
        <v>78.491049617556371</v>
      </c>
      <c r="O20">
        <f>((D20+E20+H20+I20+F20+K20)/C20)</f>
        <v>0.66707142857142865</v>
      </c>
      <c r="Q20">
        <f t="shared" si="2"/>
        <v>0.65</v>
      </c>
      <c r="R20">
        <f t="shared" si="3"/>
        <v>11.264559068219635</v>
      </c>
      <c r="T20" s="6">
        <v>20</v>
      </c>
      <c r="U20" s="15">
        <f>I19+H19</f>
        <v>2.5030000000000001</v>
      </c>
      <c r="V20" s="3">
        <v>2.74</v>
      </c>
      <c r="W20" s="17">
        <f t="shared" si="15"/>
        <v>25.243000000000002</v>
      </c>
      <c r="X20" s="18">
        <f t="shared" si="11"/>
        <v>79.229885512815429</v>
      </c>
      <c r="Y20" s="18">
        <f t="shared" si="12"/>
        <v>9.9156201719288521</v>
      </c>
      <c r="Z20" s="19">
        <f t="shared" si="13"/>
        <v>10.854494315255714</v>
      </c>
      <c r="AA20" s="15">
        <f t="shared" si="14"/>
        <v>100</v>
      </c>
      <c r="AC20">
        <f>(-1.773*J20)+(0.607*C20)+(0.76*D20)+(-1.5*F20)+(0.616*I20)+(0.509*H20)+(-1.224*E20)+(-9.09)</f>
        <v>1.9864519999999981</v>
      </c>
      <c r="AD20">
        <f>(0.445*J20)+(0.07*C20)+(-0.25*D20)+(-1.142*F20)+(0.438*I20)+(1.475*H20)+(-1.426*E20)+(-6.861)</f>
        <v>-9.1559599999999985</v>
      </c>
      <c r="AF20">
        <f>(-0.0447*B20)+(-0.972*J20)+(0.008*C20)+(-0.267*D20)+(3.082*K20)+(0.14*F20)+(0.195*I20)+(0.719*H20)+(0.031*E20)+(7.51*G20)</f>
        <v>-1.3335238000000003</v>
      </c>
      <c r="AG20">
        <f>(-0.0421*B20)+(1.988*J20)+(-0.526*C20)+(-0.551*D20)+(2.72*K20)+(0.881*F20)+(-0.907*I20)+(-0.177*H20)+(-1.84*E20)+(7.244*G20)</f>
        <v>-17.393615000000004</v>
      </c>
      <c r="AI20">
        <f>(-0.395*LN(B20))+(0.206*LN(J20))-(0.316*(C20))+(0.16*LN(D20))+(0.246*LN(F20))+(0.368*LN(I20))+(0.073*LN(H20))-(0.342*LN(E20))+(2.266)</f>
        <v>-5.4544494585407275</v>
      </c>
      <c r="AJ20">
        <f>(0.191*LN(B20))-(0.397*LN(J20))+(0.02*(C20))-(0.375*LN(D20))-(0.243*LN(F20))+(0.079*LN(I20))+(0.392*LN(H20))+(0.333*LN(E20))-(0.892)</f>
        <v>0.12442987195810662</v>
      </c>
      <c r="AK20">
        <f>(0.203*LN(B20))+(0.191*LN(J20))+(0.296*(C20))+(0.215*LN(D20))-(0.002*LN(F20))-(0.448*LN(I20))-(0.464*LN(H20))+(0.008*LN(E20))-(1.374)</f>
        <v>5.3256906291973767</v>
      </c>
      <c r="AM20">
        <f t="shared" si="4"/>
        <v>4.2772309265819656E-3</v>
      </c>
      <c r="AN20">
        <f t="shared" si="5"/>
        <v>1.1325025974857881</v>
      </c>
      <c r="AO20">
        <f t="shared" si="6"/>
        <v>205.55027047386267</v>
      </c>
      <c r="AP20" s="12">
        <f t="shared" si="7"/>
        <v>206.68705030227503</v>
      </c>
      <c r="AQ20" s="18">
        <f t="shared" si="8"/>
        <v>2.0694237594114455E-3</v>
      </c>
      <c r="AR20" s="18">
        <f t="shared" si="9"/>
        <v>0.5479310851016207</v>
      </c>
      <c r="AS20" s="18">
        <f t="shared" si="10"/>
        <v>99.449999491138968</v>
      </c>
      <c r="AT20" s="20">
        <f t="shared" si="0"/>
        <v>100</v>
      </c>
      <c r="AU20" s="20"/>
      <c r="AV20" s="20"/>
      <c r="AW20">
        <f>(-0.263*LN(J20/B20))+(0.604*LN(C20/B20))+(-1.725*LN(D20/B20))+(0.66*LN(K20/B20))+(2.191*LN(F20/B20))+(0.144*LN(I20/B20))+(-1.304*LN(H20/B20))+(0.054*LN(E20/B20))+(-0.33*LN(G20/B20))+1.588</f>
        <v>-0.58273141306739884</v>
      </c>
      <c r="AX20">
        <f>(-1.196*LN(J20/B20))+(1.064*LN(C20/B20))+(-0.303*LN(D20/B20))+(0.436*LN(K20/B20))+(0.838*LN(F20/B20))+(-0.407*LN(I20/B20))+(1.021*LN(H20/B20))+(-1.706*LN(E20/B20))+(-0.126*LN(G20/B20))-1.068</f>
        <v>1.7101897154131298</v>
      </c>
      <c r="AZ20">
        <f>(0.608*LN(J20/B20))+(-1.854*LN(C20/B20))+(0.299*LN(D20/B20))+(-0.55*LN(K20/B20))+(0.12*LN(F20/B20))+(0.194*LN(I20/B20))+(-1.51*LN(H20/B20))+(1.941*LN(E20/B20))+(0.003*LN(G20/B20))-0.294</f>
        <v>0.31950824633472646</v>
      </c>
      <c r="BA20">
        <f>(-0.554*LN(J20/B20))+(-0.995*LN(C20/B20))+(0.299*LN(D20/B20))+(-1.391*LN(K20/B20))+(-1.034*LN(F20/B20))+(0.255*LN(I20/B20))+(0.713*LN(H20/B20))+(0.33*LN(E20/B20))+(0.637*LN(G20/B20))-3.631</f>
        <v>4.3876906543548273</v>
      </c>
    </row>
    <row r="21" spans="1:53" ht="20.100000000000001" customHeight="1" x14ac:dyDescent="0.2">
      <c r="A21" s="4" t="s">
        <v>27</v>
      </c>
      <c r="B21" s="6">
        <v>70.3</v>
      </c>
      <c r="C21" s="6">
        <v>17.8</v>
      </c>
      <c r="D21" s="3">
        <v>4.9800000000000004</v>
      </c>
      <c r="E21" s="3">
        <v>2.75</v>
      </c>
      <c r="F21" s="3">
        <v>1.01</v>
      </c>
      <c r="G21" s="3">
        <v>0.129</v>
      </c>
      <c r="H21" s="3">
        <v>1.7875000000000001</v>
      </c>
      <c r="I21" s="3">
        <v>0.496</v>
      </c>
      <c r="J21" s="3">
        <v>0.90100000000000002</v>
      </c>
      <c r="K21" s="3">
        <v>8.5500000000000007E-2</v>
      </c>
      <c r="L21" s="7">
        <f t="shared" si="1"/>
        <v>0.77727272727272734</v>
      </c>
      <c r="M21" s="7">
        <f>K21/0.1</f>
        <v>0.85499999999999998</v>
      </c>
      <c r="N21" s="8">
        <f>(C21/(C21+I21+H21+E21))*100</f>
        <v>77.955635360325843</v>
      </c>
      <c r="O21">
        <f>((D21+E21+H21+I21+F21+K21)/C21)</f>
        <v>0.62410112359550562</v>
      </c>
      <c r="Q21">
        <f t="shared" si="2"/>
        <v>0.65</v>
      </c>
      <c r="R21">
        <f t="shared" si="3"/>
        <v>14.116465863453813</v>
      </c>
      <c r="T21" s="6">
        <v>19.600000000000001</v>
      </c>
      <c r="U21" s="15">
        <f>I20+H20</f>
        <v>2.831</v>
      </c>
      <c r="V21" s="3">
        <v>2.54</v>
      </c>
      <c r="W21" s="17">
        <f t="shared" si="15"/>
        <v>24.971</v>
      </c>
      <c r="X21" s="18">
        <f t="shared" si="11"/>
        <v>78.491049617556371</v>
      </c>
      <c r="Y21" s="18">
        <f t="shared" si="12"/>
        <v>11.337151095270514</v>
      </c>
      <c r="Z21" s="19">
        <f t="shared" si="13"/>
        <v>10.171799287173121</v>
      </c>
      <c r="AA21" s="15">
        <f t="shared" si="14"/>
        <v>100</v>
      </c>
      <c r="AC21">
        <f>(-1.773*J21)+(0.607*C21)+(0.76*D21)+(-1.5*F21)+(0.616*I21)+(0.509*H21)+(-1.224*E21)+(-9.09)</f>
        <v>0.23630050000000047</v>
      </c>
      <c r="AD21">
        <f>(0.445*J21)+(0.07*C21)+(-0.25*D21)+(-1.142*F21)+(0.438*I21)+(1.475*H21)+(-1.426*E21)+(-6.861)</f>
        <v>-8.6801645000000001</v>
      </c>
      <c r="AF21">
        <f>(-0.0447*B21)+(-0.972*J21)+(0.008*C21)+(-0.267*D21)+(3.082*K21)+(0.14*F21)+(0.195*I21)+(0.719*H21)+(0.031*E21)+(7.51*G21)</f>
        <v>-2.3645584999999993</v>
      </c>
      <c r="AG21">
        <f>(-0.0421*B21)+(1.988*J21)+(-0.526*C21)+(-0.551*D21)+(2.72*K21)+(0.881*F21)+(-0.907*I21)+(-0.177*H21)+(-1.84*E21)+(7.244*G21)</f>
        <v>-17.044635499999998</v>
      </c>
      <c r="AI21">
        <f>(-0.395*LN(B21))+(0.206*LN(J21))-(0.316*(C21))+(0.16*LN(D21))+(0.246*LN(F21))+(0.368*LN(I21))+(0.073*LN(H21))-(0.342*LN(E21))+(2.266)</f>
        <v>-5.3624056007267518</v>
      </c>
      <c r="AJ21">
        <f>(0.191*LN(B21))-(0.397*LN(J21))+(0.02*(C21))-(0.375*LN(D21))-(0.243*LN(F21))+(0.079*LN(I21))+(0.392*LN(H21))+(0.333*LN(E21))-(0.892)</f>
        <v>0.22236312155367843</v>
      </c>
      <c r="AK21">
        <f>(0.203*LN(B21))+(0.191*LN(J21))+(0.296*(C21))+(0.215*LN(D21))-(0.002*LN(F21))-(0.448*LN(I21))-(0.464*LN(H21))+(0.008*LN(E21))-(1.374)</f>
        <v>5.1360700541412747</v>
      </c>
      <c r="AM21">
        <f t="shared" si="4"/>
        <v>4.6896111954058458E-3</v>
      </c>
      <c r="AN21">
        <f t="shared" si="5"/>
        <v>1.2490248433694586</v>
      </c>
      <c r="AO21">
        <f t="shared" si="6"/>
        <v>170.04618117698675</v>
      </c>
      <c r="AP21" s="12">
        <f t="shared" si="7"/>
        <v>171.29989563155161</v>
      </c>
      <c r="AQ21" s="18">
        <f t="shared" si="8"/>
        <v>2.7376614434679604E-3</v>
      </c>
      <c r="AR21" s="18">
        <f t="shared" si="9"/>
        <v>0.72914512806007903</v>
      </c>
      <c r="AS21" s="18">
        <f t="shared" si="10"/>
        <v>99.268117210496456</v>
      </c>
      <c r="AT21" s="20">
        <f t="shared" si="0"/>
        <v>100</v>
      </c>
      <c r="AU21" s="20"/>
      <c r="AV21" s="20"/>
      <c r="AW21">
        <f>(-0.263*LN(J21/B21))+(0.604*LN(C21/B21))+(-1.725*LN(D21/B21))+(0.66*LN(K21/B21))+(2.191*LN(F21/B21))+(0.144*LN(I21/B21))+(-1.304*LN(H21/B21))+(0.054*LN(E21/B21))+(-0.33*LN(G21/B21))+1.588</f>
        <v>-1.2759542601926093</v>
      </c>
      <c r="AX21">
        <f>(-1.196*LN(J21/B21))+(1.064*LN(C21/B21))+(-0.303*LN(D21/B21))+(0.436*LN(K21/B21))+(0.838*LN(F21/B21))+(-0.407*LN(I21/B21))+(1.021*LN(H21/B21))+(-1.706*LN(E21/B21))+(-0.126*LN(G21/B21))-1.068</f>
        <v>1.5922604711660724</v>
      </c>
      <c r="AZ21">
        <f>(0.608*LN(J21/B21))+(-1.854*LN(C21/B21))+(0.299*LN(D21/B21))+(-0.55*LN(K21/B21))+(0.12*LN(F21/B21))+(0.194*LN(I21/B21))+(-1.51*LN(H21/B21))+(1.941*LN(E21/B21))+(0.003*LN(G21/B21))-0.294</f>
        <v>0.26801667155307768</v>
      </c>
      <c r="BA21">
        <f>(-0.554*LN(J21/B21))+(-0.995*LN(C21/B21))+(0.299*LN(D21/B21))+(-1.391*LN(K21/B21))+(-1.034*LN(F21/B21))+(0.255*LN(I21/B21))+(0.713*LN(H21/B21))+(0.33*LN(E21/B21))+(0.637*LN(G21/B21))-3.631</f>
        <v>4.1169223719639554</v>
      </c>
    </row>
    <row r="22" spans="1:53" ht="20.100000000000001" customHeight="1" x14ac:dyDescent="0.2">
      <c r="A22" s="4" t="s">
        <v>28</v>
      </c>
      <c r="B22" s="6">
        <v>75.099999999999994</v>
      </c>
      <c r="C22" s="6">
        <v>23.1</v>
      </c>
      <c r="D22" s="3">
        <v>0.36799999999999999</v>
      </c>
      <c r="E22" s="3">
        <v>0.38300000000000001</v>
      </c>
      <c r="F22" s="3">
        <v>0.69399999999999995</v>
      </c>
      <c r="G22" s="3">
        <v>8.8900000000000007E-2</v>
      </c>
      <c r="H22" s="3">
        <v>0.24895</v>
      </c>
      <c r="I22" s="3">
        <v>0.10138999999999999</v>
      </c>
      <c r="J22" s="3">
        <v>0.11799999999999999</v>
      </c>
      <c r="K22" s="3">
        <v>2.7000000000000001E-3</v>
      </c>
      <c r="L22" s="7">
        <f t="shared" si="1"/>
        <v>2.4545454545454547E-2</v>
      </c>
      <c r="M22" s="7">
        <f>K22/0.1</f>
        <v>2.7E-2</v>
      </c>
      <c r="N22" s="8">
        <f>(C22/(C22+I22+H22+E22))*100</f>
        <v>96.92304981173433</v>
      </c>
      <c r="O22">
        <f>((D22+E22+H22+I22+F22+K22)/C22)</f>
        <v>7.7837229437229427E-2</v>
      </c>
      <c r="Q22">
        <f t="shared" si="2"/>
        <v>0.65</v>
      </c>
      <c r="R22">
        <f t="shared" si="3"/>
        <v>204.07608695652172</v>
      </c>
      <c r="T22" s="6">
        <v>17.8</v>
      </c>
      <c r="U22" s="15">
        <f>I21+H21</f>
        <v>2.2835000000000001</v>
      </c>
      <c r="V22" s="3">
        <v>2.75</v>
      </c>
      <c r="W22" s="17">
        <f t="shared" si="15"/>
        <v>22.833500000000001</v>
      </c>
      <c r="X22" s="18">
        <f t="shared" si="11"/>
        <v>77.955635360325843</v>
      </c>
      <c r="Y22" s="18">
        <f t="shared" si="12"/>
        <v>10.000656929511463</v>
      </c>
      <c r="Z22" s="19">
        <f t="shared" si="13"/>
        <v>12.0437077101627</v>
      </c>
      <c r="AA22" s="15">
        <f t="shared" si="14"/>
        <v>100</v>
      </c>
      <c r="AC22">
        <f>(-1.773*J22)+(0.607*C22)+(0.76*D22)+(-1.5*F22)+(0.616*I22)+(0.509*H22)+(-1.224*E22)+(-9.09)</f>
        <v>3.6815457900000013</v>
      </c>
      <c r="AD22">
        <f>(0.445*J22)+(0.07*C22)+(-0.25*D22)+(-1.142*F22)+(0.438*I22)+(1.475*H22)+(-1.426*E22)+(-6.861)</f>
        <v>-6.2105859299999997</v>
      </c>
      <c r="AF22">
        <f>(-0.0447*B22)+(-0.972*J22)+(0.008*C22)+(-0.267*D22)+(3.082*K22)+(0.14*F22)+(0.195*I22)+(0.719*H22)+(0.031*E22)+(7.51*G22)</f>
        <v>-2.4013624999999994</v>
      </c>
      <c r="AG22">
        <f>(-0.0421*B22)+(1.988*J22)+(-0.526*C22)+(-0.551*D22)+(2.72*K22)+(0.881*F22)+(-0.907*I22)+(-0.177*H22)+(-1.84*E22)+(7.244*G22)</f>
        <v>-14.858489280000002</v>
      </c>
      <c r="AI22">
        <f>(-0.395*LN(B22))+(0.206*LN(J22))-(0.316*(C22))+(0.16*LN(D22))+(0.246*LN(F22))+(0.368*LN(I22))+(0.073*LN(H22))-(0.342*LN(E22))+(2.266)</f>
        <v>-8.045131680160269</v>
      </c>
      <c r="AJ22">
        <f>(0.191*LN(B22))-(0.397*LN(J22))+(0.02*(C22))-(0.375*LN(D22))-(0.243*LN(F22))+(0.079*LN(I22))+(0.392*LN(H22))+(0.333*LN(E22))-(0.892)</f>
        <v>0.66147495339886742</v>
      </c>
      <c r="AK22">
        <f>(0.203*LN(B22))+(0.191*LN(J22))+(0.296*(C22))+(0.215*LN(D22))-(0.002*LN(F22))-(0.448*LN(I22))-(0.464*LN(H22))+(0.008*LN(E22))-(1.374)</f>
        <v>7.3808306207800776</v>
      </c>
      <c r="AM22">
        <f t="shared" si="4"/>
        <v>3.2065920028884621E-4</v>
      </c>
      <c r="AN22">
        <f t="shared" si="5"/>
        <v>1.9376481685251477</v>
      </c>
      <c r="AO22">
        <f t="shared" si="6"/>
        <v>1604.9222961526407</v>
      </c>
      <c r="AP22" s="12">
        <f t="shared" si="7"/>
        <v>1606.8602649803661</v>
      </c>
      <c r="AQ22" s="18">
        <f t="shared" si="8"/>
        <v>1.9955636919851537E-5</v>
      </c>
      <c r="AR22" s="18">
        <f t="shared" si="9"/>
        <v>0.12058597818079865</v>
      </c>
      <c r="AS22" s="18">
        <f t="shared" si="10"/>
        <v>99.879394066182286</v>
      </c>
      <c r="AT22" s="20">
        <f t="shared" si="0"/>
        <v>100</v>
      </c>
      <c r="AU22" s="20"/>
      <c r="AV22" s="20"/>
      <c r="AW22">
        <f>(-0.263*LN(J22/B22))+(0.604*LN(C22/B22))+(-1.725*LN(D22/B22))+(0.66*LN(K22/B22))+(2.191*LN(F22/B22))+(0.144*LN(I22/B22))+(-1.304*LN(H22/B22))+(0.054*LN(E22/B22))+(-0.33*LN(G22/B22))+1.588</f>
        <v>3.1636388519230589</v>
      </c>
      <c r="AX22">
        <f>(-1.196*LN(J22/B22))+(1.064*LN(C22/B22))+(-0.303*LN(D22/B22))+(0.436*LN(K22/B22))+(0.838*LN(F22/B22))+(-0.407*LN(I22/B22))+(1.021*LN(H22/B22))+(-1.706*LN(E22/B22))+(-0.126*LN(G22/B22))-1.068</f>
        <v>5.3376846362744885</v>
      </c>
      <c r="AZ22">
        <f>(0.608*LN(J22/B22))+(-1.854*LN(C22/B22))+(0.299*LN(D22/B22))+(-0.55*LN(K22/B22))+(0.12*LN(F22/B22))+(0.194*LN(I22/B22))+(-1.51*LN(H22/B22))+(1.941*LN(E22/B22))+(0.003*LN(G22/B22))-0.294</f>
        <v>-1.4839925807049776</v>
      </c>
      <c r="BA22">
        <f>(-0.554*LN(J22/B22))+(-0.995*LN(C22/B22))+(0.299*LN(D22/B22))+(-1.391*LN(K22/B22))+(-1.034*LN(F22/B22))+(0.255*LN(I22/B22))+(0.713*LN(H22/B22))+(0.33*LN(E22/B22))+(0.637*LN(G22/B22))-3.631</f>
        <v>6.8159562922013208</v>
      </c>
    </row>
    <row r="23" spans="1:53" ht="20.100000000000001" customHeight="1" x14ac:dyDescent="0.2">
      <c r="A23" s="4" t="s">
        <v>29</v>
      </c>
      <c r="B23" s="6">
        <v>67.400000000000006</v>
      </c>
      <c r="C23" s="6">
        <v>19.8</v>
      </c>
      <c r="D23" s="3">
        <v>5.15</v>
      </c>
      <c r="E23" s="3">
        <v>3.28</v>
      </c>
      <c r="F23" s="3">
        <v>1.79</v>
      </c>
      <c r="G23" s="3">
        <v>0.14399999999999999</v>
      </c>
      <c r="H23" s="3">
        <v>2.1320000000000001</v>
      </c>
      <c r="I23" s="3">
        <v>1.1000000000000001</v>
      </c>
      <c r="J23" s="3">
        <v>0.97099999999999997</v>
      </c>
      <c r="K23" s="3">
        <v>5.7700000000000001E-2</v>
      </c>
      <c r="L23" s="7">
        <f t="shared" si="1"/>
        <v>0.52454545454545454</v>
      </c>
      <c r="M23" s="7">
        <f>K23/0.1</f>
        <v>0.57699999999999996</v>
      </c>
      <c r="N23" s="8">
        <f>(C23/(C23+I23+H23+E23))*100</f>
        <v>75.250836120401331</v>
      </c>
      <c r="O23">
        <f>((D23+E23+H23+I23+F23+K23)/C23)</f>
        <v>0.6823080808080807</v>
      </c>
      <c r="Q23">
        <f t="shared" si="2"/>
        <v>0.65</v>
      </c>
      <c r="R23">
        <f t="shared" si="3"/>
        <v>13.087378640776699</v>
      </c>
      <c r="T23" s="6">
        <v>23.1</v>
      </c>
      <c r="U23" s="15">
        <f>I22+H22</f>
        <v>0.35033999999999998</v>
      </c>
      <c r="V23" s="3">
        <v>0.38300000000000001</v>
      </c>
      <c r="W23" s="17">
        <f t="shared" si="15"/>
        <v>23.83334</v>
      </c>
      <c r="X23" s="18">
        <f t="shared" si="11"/>
        <v>96.92304981173433</v>
      </c>
      <c r="Y23" s="18">
        <f t="shared" si="12"/>
        <v>1.4699576307810822</v>
      </c>
      <c r="Z23" s="19">
        <f t="shared" si="13"/>
        <v>1.6069925574845993</v>
      </c>
      <c r="AA23" s="15">
        <f t="shared" si="14"/>
        <v>100.00000000000001</v>
      </c>
      <c r="AC23">
        <f>(-1.773*J23)+(0.607*C23)+(0.76*D23)+(-1.5*F23)+(0.616*I23)+(0.509*H23)+(-1.224*E23)+(-9.09)</f>
        <v>0.18408499999999961</v>
      </c>
      <c r="AD23">
        <f>(0.445*J23)+(0.07*C23)+(-0.25*D23)+(-1.142*F23)+(0.438*I23)+(1.475*H23)+(-1.426*E23)+(-6.861)</f>
        <v>-9.4253649999999993</v>
      </c>
      <c r="AF23">
        <f>(-0.0447*B23)+(-0.972*J23)+(0.008*C23)+(-0.267*D23)+(3.082*K23)+(0.14*F23)+(0.195*I23)+(0.719*H23)+(0.031*E23)+(7.51*G23)</f>
        <v>-1.8142826000000001</v>
      </c>
      <c r="AG23">
        <f>(-0.0421*B23)+(1.988*J23)+(-0.526*C23)+(-0.551*D23)+(2.72*K23)+(0.881*F23)+(-0.907*I23)+(-0.177*H23)+(-1.84*E23)+(7.244*G23)</f>
        <v>-18.792836000000001</v>
      </c>
      <c r="AI23">
        <f>(-0.395*LN(B23))+(0.206*LN(J23))-(0.316*(C23))+(0.16*LN(D23))+(0.246*LN(F23))+(0.368*LN(I23))+(0.073*LN(H23))-(0.342*LN(E23))+(2.266)</f>
        <v>-5.5705054875794575</v>
      </c>
      <c r="AJ23">
        <f>(0.191*LN(B23))-(0.397*LN(J23))+(0.02*(C23))-(0.375*LN(D23))-(0.243*LN(F23))+(0.079*LN(I23))+(0.392*LN(H23))+(0.333*LN(E23))-(0.892)</f>
        <v>0.2636633549725137</v>
      </c>
      <c r="AK23">
        <f>(0.203*LN(B23))+(0.191*LN(J23))+(0.296*(C23))+(0.215*LN(D23))-(0.002*LN(F23))-(0.448*LN(I23))-(0.464*LN(H23))+(0.008*LN(E23))-(1.374)</f>
        <v>5.3026876101129812</v>
      </c>
      <c r="AM23">
        <f t="shared" si="4"/>
        <v>3.8085547688021643E-3</v>
      </c>
      <c r="AN23">
        <f t="shared" si="5"/>
        <v>1.3016899150951933</v>
      </c>
      <c r="AO23">
        <f t="shared" si="6"/>
        <v>200.87596140115994</v>
      </c>
      <c r="AP23" s="12">
        <f t="shared" si="7"/>
        <v>202.18145987102395</v>
      </c>
      <c r="AQ23" s="18">
        <f t="shared" si="8"/>
        <v>1.8837309668412355E-3</v>
      </c>
      <c r="AR23" s="18">
        <f t="shared" si="9"/>
        <v>0.64382259180716683</v>
      </c>
      <c r="AS23" s="18">
        <f t="shared" si="10"/>
        <v>99.354293677225996</v>
      </c>
      <c r="AT23" s="20">
        <f t="shared" si="0"/>
        <v>100.00000000000001</v>
      </c>
      <c r="AU23" s="20"/>
      <c r="AV23" s="20"/>
      <c r="AW23">
        <f>(-0.263*LN(J23/B23))+(0.604*LN(C23/B23))+(-1.725*LN(D23/B23))+(0.66*LN(K23/B23))+(2.191*LN(F23/B23))+(0.144*LN(I23/B23))+(-1.304*LN(H23/B23))+(0.054*LN(E23/B23))+(-0.33*LN(G23/B23))+1.588</f>
        <v>-0.43553982361457955</v>
      </c>
      <c r="AX23">
        <f>(-1.196*LN(J23/B23))+(1.064*LN(C23/B23))+(-0.303*LN(D23/B23))+(0.436*LN(K23/B23))+(0.838*LN(F23/B23))+(-0.407*LN(I23/B23))+(1.021*LN(H23/B23))+(-1.706*LN(E23/B23))+(-0.126*LN(G23/B23))-1.068</f>
        <v>1.4392757565494017</v>
      </c>
      <c r="AZ23">
        <f>(0.608*LN(J23/B23))+(-1.854*LN(C23/B23))+(0.299*LN(D23/B23))+(-0.55*LN(K23/B23))+(0.12*LN(F23/B23))+(0.194*LN(I23/B23))+(-1.51*LN(H23/B23))+(1.941*LN(E23/B23))+(0.003*LN(G23/B23))-0.294</f>
        <v>0.6103450063979643</v>
      </c>
      <c r="BA23">
        <f>(-0.554*LN(J23/B23))+(-0.995*LN(C23/B23))+(0.299*LN(D23/B23))+(-1.391*LN(K23/B23))+(-1.034*LN(F23/B23))+(0.255*LN(I23/B23))+(0.713*LN(H23/B23))+(0.33*LN(E23/B23))+(0.637*LN(G23/B23))-3.631</f>
        <v>4.318553821108523</v>
      </c>
    </row>
    <row r="24" spans="1:53" ht="20.100000000000001" customHeight="1" x14ac:dyDescent="0.2">
      <c r="A24" s="4" t="s">
        <v>30</v>
      </c>
      <c r="B24" s="6">
        <v>71.099999999999994</v>
      </c>
      <c r="C24" s="6">
        <v>21.4</v>
      </c>
      <c r="D24" s="3">
        <v>2.76</v>
      </c>
      <c r="E24" s="3">
        <v>1.52</v>
      </c>
      <c r="F24" s="3">
        <v>1.91</v>
      </c>
      <c r="G24" s="3">
        <v>0.16400000000000001</v>
      </c>
      <c r="H24" s="3">
        <v>1.32</v>
      </c>
      <c r="I24" s="3">
        <v>0.52200000000000002</v>
      </c>
      <c r="J24" s="3">
        <v>0.44600000000000001</v>
      </c>
      <c r="K24" s="3">
        <v>3.1699999999999999E-2</v>
      </c>
      <c r="L24" s="7">
        <f t="shared" si="1"/>
        <v>0.28818181818181815</v>
      </c>
      <c r="M24" s="7">
        <f>K24/0.1</f>
        <v>0.31699999999999995</v>
      </c>
      <c r="N24" s="8">
        <f>(C24/(C24+I24+H24+E24))*100</f>
        <v>86.422744527905664</v>
      </c>
      <c r="O24">
        <f>((D24+E24+H24+I24+F24+K24)/C24)</f>
        <v>0.37680841121495334</v>
      </c>
      <c r="Q24">
        <f t="shared" si="2"/>
        <v>0.86842105263157898</v>
      </c>
      <c r="R24">
        <f t="shared" si="3"/>
        <v>25.760869565217391</v>
      </c>
      <c r="T24" s="6">
        <v>19.8</v>
      </c>
      <c r="U24" s="15">
        <f>I23+H23</f>
        <v>3.2320000000000002</v>
      </c>
      <c r="V24" s="3">
        <v>3.28</v>
      </c>
      <c r="W24" s="17">
        <f t="shared" si="15"/>
        <v>26.312000000000001</v>
      </c>
      <c r="X24" s="18">
        <f t="shared" si="11"/>
        <v>75.250836120401331</v>
      </c>
      <c r="Y24" s="18">
        <f t="shared" si="12"/>
        <v>12.283368805107935</v>
      </c>
      <c r="Z24" s="19">
        <f t="shared" si="13"/>
        <v>12.465795074490725</v>
      </c>
      <c r="AA24" s="15">
        <f t="shared" si="14"/>
        <v>100</v>
      </c>
      <c r="AC24">
        <f>(-1.773*J24)+(0.607*C24)+(0.76*D24)+(-1.5*F24)+(0.616*I24)+(0.509*H24)+(-1.224*E24)+(-9.09)</f>
        <v>1.4745939999999997</v>
      </c>
      <c r="AD24">
        <f>(0.445*J24)+(0.07*C24)+(-0.25*D24)+(-1.142*F24)+(0.438*I24)+(1.475*H24)+(-1.426*E24)+(-6.861)</f>
        <v>-8.027633999999999</v>
      </c>
      <c r="AF24">
        <f>(-0.0447*B24)+(-0.972*J24)+(0.008*C24)+(-0.267*D24)+(3.082*K24)+(0.14*F24)+(0.195*I24)+(0.719*H24)+(0.031*E24)+(7.51*G24)</f>
        <v>-1.4826726000000003</v>
      </c>
      <c r="AG24">
        <f>(-0.0421*B24)+(1.988*J24)+(-0.526*C24)+(-0.551*D24)+(2.72*K24)+(0.881*F24)+(-0.907*I24)+(-0.177*H24)+(-1.84*E24)+(7.244*G24)</f>
        <v>-15.430766</v>
      </c>
      <c r="AI24">
        <f>(-0.395*LN(B24))+(0.206*LN(J24))-(0.316*(C24))+(0.16*LN(D24))+(0.246*LN(F24))+(0.368*LN(I24))+(0.073*LN(H24))-(0.342*LN(E24))+(2.266)</f>
        <v>-6.38758616316521</v>
      </c>
      <c r="AJ24">
        <f>(0.191*LN(B24))-(0.397*LN(J24))+(0.02*(C24))-(0.375*LN(D24))-(0.243*LN(F24))+(0.079*LN(I24))+(0.392*LN(H24))+(0.333*LN(E24))-(0.892)</f>
        <v>0.32994056507331815</v>
      </c>
      <c r="AK24">
        <f>(0.203*LN(B24))+(0.191*LN(J24))+(0.296*(C24))+(0.215*LN(D24))-(0.002*LN(F24))-(0.448*LN(I24))-(0.464*LN(H24))+(0.008*LN(E24))-(1.374)</f>
        <v>6.0545376230899794</v>
      </c>
      <c r="AM24">
        <f t="shared" si="4"/>
        <v>1.6823121312334445E-3</v>
      </c>
      <c r="AN24">
        <f t="shared" si="5"/>
        <v>1.3908854588318043</v>
      </c>
      <c r="AO24">
        <f t="shared" si="6"/>
        <v>426.04186798287185</v>
      </c>
      <c r="AP24" s="12">
        <f t="shared" si="7"/>
        <v>427.43443575383486</v>
      </c>
      <c r="AQ24" s="18">
        <f t="shared" si="8"/>
        <v>3.9358366816339297E-4</v>
      </c>
      <c r="AR24" s="18">
        <f t="shared" si="9"/>
        <v>0.32540322970909002</v>
      </c>
      <c r="AS24" s="18">
        <f t="shared" si="10"/>
        <v>99.674203186622762</v>
      </c>
      <c r="AT24" s="20">
        <f t="shared" si="0"/>
        <v>100</v>
      </c>
      <c r="AU24" s="20"/>
      <c r="AV24" s="20"/>
      <c r="AW24">
        <f>(-0.263*LN(J24/B24))+(0.604*LN(C24/B24))+(-1.725*LN(D24/B24))+(0.66*LN(K24/B24))+(2.191*LN(F24/B24))+(0.144*LN(I24/B24))+(-1.304*LN(H24/B24))+(0.054*LN(E24/B24))+(-0.33*LN(G24/B24))+1.588</f>
        <v>1.0706072364490709</v>
      </c>
      <c r="AX24">
        <f>(-1.196*LN(J24/B24))+(1.064*LN(C24/B24))+(-0.303*LN(D24/B24))+(0.436*LN(K24/B24))+(0.838*LN(F24/B24))+(-0.407*LN(I24/B24))+(1.021*LN(H24/B24))+(-1.706*LN(E24/B24))+(-0.126*LN(G24/B24))-1.068</f>
        <v>3.564583138173115</v>
      </c>
      <c r="AZ24">
        <f>(0.608*LN(J24/B24))+(-1.854*LN(C24/B24))+(0.299*LN(D24/B24))+(-0.55*LN(K24/B24))+(0.12*LN(F24/B24))+(0.194*LN(I24/B24))+(-1.51*LN(H24/B24))+(1.941*LN(E24/B24))+(0.003*LN(G24/B24))-0.294</f>
        <v>-0.72919689065243709</v>
      </c>
      <c r="BA24">
        <f>(-0.554*LN(J24/B24))+(-0.995*LN(C24/B24))+(0.299*LN(D24/B24))+(-1.391*LN(K24/B24))+(-1.034*LN(F24/B24))+(0.255*LN(I24/B24))+(0.713*LN(H24/B24))+(0.33*LN(E24/B24))+(0.637*LN(G24/B24))-3.631</f>
        <v>4.6418863139531474</v>
      </c>
    </row>
    <row r="25" spans="1:53" ht="20.100000000000001" customHeight="1" x14ac:dyDescent="0.2">
      <c r="A25" s="4" t="s">
        <v>31</v>
      </c>
      <c r="B25" s="6">
        <v>75.2</v>
      </c>
      <c r="C25" s="6">
        <v>20.3</v>
      </c>
      <c r="D25" s="3">
        <v>1.33</v>
      </c>
      <c r="E25" s="3">
        <v>0.83699999999999997</v>
      </c>
      <c r="F25" s="3">
        <v>0.72399999999999998</v>
      </c>
      <c r="G25" s="3">
        <v>9.4700000000000006E-2</v>
      </c>
      <c r="H25" s="3">
        <v>0.54405000000000003</v>
      </c>
      <c r="I25" s="3">
        <v>4.7899999999999998E-2</v>
      </c>
      <c r="J25" s="3">
        <v>0.249</v>
      </c>
      <c r="K25" s="3">
        <v>9.2999999999999992E-3</v>
      </c>
      <c r="L25" s="7">
        <f t="shared" si="1"/>
        <v>8.4545454545454535E-2</v>
      </c>
      <c r="M25" s="7">
        <f>K25/0.1</f>
        <v>9.2999999999999985E-2</v>
      </c>
      <c r="N25" s="8">
        <f>(C25/(C25+I25+H25+E25))*100</f>
        <v>93.423750342285302</v>
      </c>
      <c r="O25">
        <f>((D25+E25+H25+I25+F25+K25)/C25)</f>
        <v>0.17203201970443349</v>
      </c>
      <c r="Q25">
        <f t="shared" si="2"/>
        <v>0.65</v>
      </c>
      <c r="R25">
        <f t="shared" si="3"/>
        <v>56.541353383458649</v>
      </c>
      <c r="T25" s="6">
        <v>21.4</v>
      </c>
      <c r="U25" s="15">
        <f>I24+H24</f>
        <v>1.8420000000000001</v>
      </c>
      <c r="V25" s="3">
        <v>1.52</v>
      </c>
      <c r="W25" s="17">
        <f t="shared" si="15"/>
        <v>24.761999999999997</v>
      </c>
      <c r="X25" s="18">
        <f t="shared" si="11"/>
        <v>86.422744527905664</v>
      </c>
      <c r="Y25" s="18">
        <f t="shared" si="12"/>
        <v>7.4388175430094519</v>
      </c>
      <c r="Z25" s="19">
        <f t="shared" si="13"/>
        <v>6.1384379290848887</v>
      </c>
      <c r="AA25" s="15">
        <f t="shared" si="14"/>
        <v>100</v>
      </c>
      <c r="AC25">
        <f>(-1.773*J25)+(0.607*C25)+(0.76*D25)+(-1.5*F25)+(0.616*I25)+(0.509*H25)+(-1.224*E25)+(-9.09)</f>
        <v>1.99736285</v>
      </c>
      <c r="AD25">
        <f>(0.445*J25)+(0.07*C25)+(-0.25*D25)+(-1.142*F25)+(0.438*I25)+(1.475*H25)+(-1.426*E25)+(-6.861)</f>
        <v>-6.8586110499999986</v>
      </c>
      <c r="AF25">
        <f>(-0.0447*B25)+(-0.972*J25)+(0.008*C25)+(-0.267*D25)+(3.082*K25)+(0.14*F25)+(0.195*I25)+(0.719*H25)+(0.031*E25)+(7.51*G25)</f>
        <v>-2.5284989500000004</v>
      </c>
      <c r="AG25">
        <f>(-0.0421*B25)+(1.988*J25)+(-0.526*C25)+(-0.551*D25)+(2.72*K25)+(0.881*F25)+(-0.907*I25)+(-0.177*H25)+(-1.84*E25)+(7.244*G25)</f>
        <v>-14.412213350000002</v>
      </c>
      <c r="AI25">
        <f>(-0.395*LN(B25))+(0.206*LN(J25))-(0.316*(C25))+(0.16*LN(D25))+(0.246*LN(F25))+(0.368*LN(I25))+(0.073*LN(H25))-(0.342*LN(E25))+(2.266)</f>
        <v>-7.2772856072017031</v>
      </c>
      <c r="AJ25">
        <f>(0.191*LN(B25))-(0.397*LN(J25))+(0.02*(C25))-(0.375*LN(D25))-(0.243*LN(F25))+(0.079*LN(I25))+(0.392*LN(H25))+(0.333*LN(E25))-(0.892)</f>
        <v>0.32471748062120509</v>
      </c>
      <c r="AK25">
        <f>(0.203*LN(B25))+(0.191*LN(J25))+(0.296*(C25))+(0.215*LN(D25))-(0.002*LN(F25))-(0.448*LN(I25))-(0.464*LN(H25))+(0.008*LN(E25))-(1.374)</f>
        <v>6.9505328683214191</v>
      </c>
      <c r="AM25">
        <f t="shared" si="4"/>
        <v>6.9105882525724983E-4</v>
      </c>
      <c r="AN25">
        <f t="shared" si="5"/>
        <v>1.3836396857319395</v>
      </c>
      <c r="AO25">
        <f t="shared" si="6"/>
        <v>1043.7057377517342</v>
      </c>
      <c r="AP25" s="12">
        <f t="shared" si="7"/>
        <v>1045.0900684962915</v>
      </c>
      <c r="AQ25" s="18">
        <f t="shared" si="8"/>
        <v>6.6124331872330119E-5</v>
      </c>
      <c r="AR25" s="18">
        <f t="shared" si="9"/>
        <v>0.13239430049534046</v>
      </c>
      <c r="AS25" s="18">
        <f t="shared" si="10"/>
        <v>99.867539575172785</v>
      </c>
      <c r="AT25" s="20">
        <f t="shared" si="0"/>
        <v>100</v>
      </c>
      <c r="AU25" s="20"/>
      <c r="AV25" s="20"/>
      <c r="AW25">
        <f>(-0.263*LN(J25/B25))+(0.604*LN(C25/B25))+(-1.725*LN(D25/B25))+(0.66*LN(K25/B25))+(2.191*LN(F25/B25))+(0.144*LN(I25/B25))+(-1.304*LN(H25/B25))+(0.054*LN(E25/B25))+(-0.33*LN(G25/B25))+1.588</f>
        <v>0.47569775037005657</v>
      </c>
      <c r="AX25">
        <f>(-1.196*LN(J25/B25))+(1.064*LN(C25/B25))+(-0.303*LN(D25/B25))+(0.436*LN(K25/B25))+(0.838*LN(F25/B25))+(-0.407*LN(I25/B25))+(1.021*LN(H25/B25))+(-1.706*LN(E25/B25))+(-0.126*LN(G25/B25))-1.068</f>
        <v>4.2546587190091874</v>
      </c>
      <c r="AZ25">
        <f>(0.608*LN(J25/B25))+(-1.854*LN(C25/B25))+(0.299*LN(D25/B25))+(-0.55*LN(K25/B25))+(0.12*LN(F25/B25))+(0.194*LN(I25/B25))+(-1.51*LN(H25/B25))+(1.941*LN(E25/B25))+(0.003*LN(G25/B25))-0.294</f>
        <v>-0.88870476629108008</v>
      </c>
      <c r="BA25">
        <f>(-0.554*LN(J25/B25))+(-0.995*LN(C25/B25))+(0.299*LN(D25/B25))+(-1.391*LN(K25/B25))+(-1.034*LN(F25/B25))+(0.255*LN(I25/B25))+(0.713*LN(H25/B25))+(0.33*LN(E25/B25))+(0.637*LN(G25/B25))-3.631</f>
        <v>5.817654698336284</v>
      </c>
    </row>
    <row r="26" spans="1:53" ht="20.100000000000001" customHeight="1" x14ac:dyDescent="0.2">
      <c r="A26" s="4" t="s">
        <v>32</v>
      </c>
      <c r="B26" s="6">
        <v>74.8</v>
      </c>
      <c r="C26" s="6">
        <v>22.6</v>
      </c>
      <c r="D26" s="3">
        <v>0.47499999999999998</v>
      </c>
      <c r="E26" s="3">
        <v>0.40699999999999997</v>
      </c>
      <c r="F26" s="3">
        <v>0.93100000000000005</v>
      </c>
      <c r="G26" s="3">
        <v>9.0999999999999998E-2</v>
      </c>
      <c r="H26" s="3">
        <v>0.26455000000000001</v>
      </c>
      <c r="I26" s="3">
        <v>0.2122</v>
      </c>
      <c r="J26" s="3">
        <v>0.11899999999999999</v>
      </c>
      <c r="K26" s="3">
        <v>3.3999999999999998E-3</v>
      </c>
      <c r="L26" s="7">
        <f t="shared" si="1"/>
        <v>3.0909090909090907E-2</v>
      </c>
      <c r="M26" s="7">
        <f>K26/0.1</f>
        <v>3.3999999999999996E-2</v>
      </c>
      <c r="N26" s="8">
        <f>(C26/(C26+I26+H26+E26))*100</f>
        <v>96.23675946132964</v>
      </c>
      <c r="O26">
        <f>((D26+E26+H26+I26+F26+K26)/C26)</f>
        <v>0.10146681415929203</v>
      </c>
      <c r="Q26">
        <f t="shared" si="2"/>
        <v>0.65</v>
      </c>
      <c r="R26">
        <f t="shared" si="3"/>
        <v>157.47368421052633</v>
      </c>
      <c r="T26" s="6">
        <v>20.3</v>
      </c>
      <c r="U26" s="15">
        <f>I25+H25</f>
        <v>0.59194999999999998</v>
      </c>
      <c r="V26" s="3">
        <v>0.83699999999999997</v>
      </c>
      <c r="W26" s="17">
        <f t="shared" si="15"/>
        <v>21.728950000000001</v>
      </c>
      <c r="X26" s="18">
        <f t="shared" si="11"/>
        <v>93.423750342285288</v>
      </c>
      <c r="Y26" s="18">
        <f t="shared" si="12"/>
        <v>2.7242457642914175</v>
      </c>
      <c r="Z26" s="19">
        <f t="shared" si="13"/>
        <v>3.8520038934232899</v>
      </c>
      <c r="AA26" s="15">
        <f t="shared" si="14"/>
        <v>99.999999999999986</v>
      </c>
      <c r="AC26">
        <f>(-1.773*J26)+(0.607*C26)+(0.76*D26)+(-1.5*F26)+(0.616*I26)+(0.509*H26)+(-1.224*E26)+(-9.09)</f>
        <v>3.1489161500000034</v>
      </c>
      <c r="AD26">
        <f>(0.445*J26)+(0.07*C26)+(-0.25*D26)+(-1.142*F26)+(0.438*I26)+(1.475*H26)+(-1.426*E26)+(-6.861)</f>
        <v>-6.5052241499999992</v>
      </c>
      <c r="AF26">
        <f>(-0.0447*B26)+(-0.972*J26)+(0.008*C26)+(-0.267*D26)+(3.082*K26)+(0.14*F26)+(0.195*I26)+(0.719*H26)+(0.031*E26)+(7.51*G26)</f>
        <v>-2.3368167499999997</v>
      </c>
      <c r="AG26">
        <f>(-0.0421*B26)+(1.988*J26)+(-0.526*C26)+(-0.551*D26)+(2.72*K26)+(0.881*F26)+(-0.907*I26)+(-0.177*H26)+(-1.84*E26)+(7.244*G26)</f>
        <v>-14.561340750000001</v>
      </c>
      <c r="AI26">
        <f>(-0.395*LN(B26))+(0.206*LN(J26))-(0.316*(C26))+(0.16*LN(D26))+(0.246*LN(F26))+(0.368*LN(I26))+(0.073*LN(H26))-(0.342*LN(E26))+(2.266)</f>
        <v>-7.5152646220115038</v>
      </c>
      <c r="AJ26">
        <f>(0.191*LN(B26))-(0.397*LN(J26))+(0.02*(C26))-(0.375*LN(D26))-(0.243*LN(F26))+(0.079*LN(I26))+(0.392*LN(H26))+(0.333*LN(E26))-(0.892)</f>
        <v>0.58266796244574814</v>
      </c>
      <c r="AK26">
        <f>(0.203*LN(B26))+(0.191*LN(J26))+(0.296*(C26))+(0.215*LN(D26))-(0.002*LN(F26))-(0.448*LN(I26))-(0.464*LN(H26))+(0.008*LN(E26))-(1.374)</f>
        <v>6.9293297888157799</v>
      </c>
      <c r="AM26">
        <f t="shared" si="4"/>
        <v>5.4470585640792595E-4</v>
      </c>
      <c r="AN26">
        <f t="shared" si="5"/>
        <v>1.7908098763986071</v>
      </c>
      <c r="AO26">
        <f t="shared" si="6"/>
        <v>1021.8089223138727</v>
      </c>
      <c r="AP26" s="12">
        <f t="shared" si="7"/>
        <v>1023.6002768961278</v>
      </c>
      <c r="AQ26" s="18">
        <f t="shared" si="8"/>
        <v>5.3214703893949932E-5</v>
      </c>
      <c r="AR26" s="18">
        <f t="shared" si="9"/>
        <v>0.17495207033637153</v>
      </c>
      <c r="AS26" s="18">
        <f t="shared" si="10"/>
        <v>99.824994714959729</v>
      </c>
      <c r="AT26" s="20">
        <f t="shared" si="0"/>
        <v>0</v>
      </c>
      <c r="AU26" s="20"/>
      <c r="AV26" s="20"/>
      <c r="AW26">
        <f>(-0.263*LN(J26/B26))+(0.604*LN(C26/B26))+(-1.725*LN(D26/B26))+(0.66*LN(K26/B26))+(2.191*LN(F26/B26))+(0.144*LN(I26/B26))+(-1.304*LN(H26/B26))+(0.054*LN(E26/B26))+(-0.33*LN(G26/B26))+1.588</f>
        <v>3.5265595217516532</v>
      </c>
      <c r="AX26">
        <f>(-1.196*LN(J26/B26))+(1.064*LN(C26/B26))+(-0.303*LN(D26/B26))+(0.436*LN(K26/B26))+(0.838*LN(F26/B26))+(-0.407*LN(I26/B26))+(1.021*LN(H26/B26))+(-1.706*LN(E26/B26))+(-0.126*LN(G26/B26))-1.068</f>
        <v>5.2269917431854864</v>
      </c>
      <c r="AZ26">
        <f>(0.608*LN(J26/B26))+(-1.854*LN(C26/B26))+(0.299*LN(D26/B26))+(-0.55*LN(K26/B26))+(0.12*LN(F26/B26))+(0.194*LN(I26/B26))+(-1.51*LN(H26/B26))+(1.941*LN(E26/B26))+(0.003*LN(G26/B26))-0.294</f>
        <v>-1.2869633429417116</v>
      </c>
      <c r="BA26">
        <f>(-0.554*LN(J26/B26))+(-0.995*LN(C26/B26))+(0.299*LN(D26/B26))+(-1.391*LN(K26/B26))+(-1.034*LN(F26/B26))+(0.255*LN(I26/B26))+(0.713*LN(H26/B26))+(0.33*LN(E26/B26))+(0.637*LN(G26/B26))-3.631</f>
        <v>6.5445650306623193</v>
      </c>
    </row>
    <row r="27" spans="1:53" x14ac:dyDescent="0.2">
      <c r="B27" s="10" t="s">
        <v>52</v>
      </c>
      <c r="C27" s="10" t="s">
        <v>58</v>
      </c>
      <c r="D27" s="10" t="s">
        <v>52</v>
      </c>
      <c r="E27" s="10" t="s">
        <v>52</v>
      </c>
      <c r="F27" s="10" t="s">
        <v>52</v>
      </c>
      <c r="G27" s="10" t="s">
        <v>52</v>
      </c>
      <c r="H27" s="10" t="s">
        <v>52</v>
      </c>
      <c r="I27" s="10" t="s">
        <v>52</v>
      </c>
      <c r="J27" s="10" t="s">
        <v>52</v>
      </c>
      <c r="K27" s="10" t="s">
        <v>52</v>
      </c>
      <c r="L27" s="10"/>
      <c r="M27" s="10"/>
      <c r="T27" s="6">
        <v>22.6</v>
      </c>
      <c r="U27" s="15">
        <f>I26+H26</f>
        <v>0.47675000000000001</v>
      </c>
      <c r="V27" s="3">
        <v>0.40699999999999997</v>
      </c>
      <c r="W27" s="17">
        <f t="shared" si="15"/>
        <v>23.483750000000001</v>
      </c>
      <c r="X27" s="18">
        <f t="shared" si="11"/>
        <v>96.23675946132964</v>
      </c>
      <c r="Y27" s="18">
        <f t="shared" si="12"/>
        <v>2.0301272156278278</v>
      </c>
      <c r="Z27" s="19">
        <f t="shared" si="13"/>
        <v>1.7331133230425293</v>
      </c>
      <c r="AA27" s="15">
        <f t="shared" si="14"/>
        <v>100</v>
      </c>
    </row>
    <row r="28" spans="1:53" x14ac:dyDescent="0.2">
      <c r="B28" s="10">
        <f>SUM(B3:B27)/23</f>
        <v>74.343478260869574</v>
      </c>
      <c r="C28" s="1">
        <f t="shared" ref="C28:K28" si="16">SUM(C3:C26)/23</f>
        <v>21.282608695652179</v>
      </c>
      <c r="D28" s="1">
        <f t="shared" si="16"/>
        <v>3.3968260869565214</v>
      </c>
      <c r="E28" s="1">
        <f t="shared" si="16"/>
        <v>1.8860434782608697</v>
      </c>
      <c r="F28" s="1">
        <f t="shared" si="16"/>
        <v>1.2480000000000002</v>
      </c>
      <c r="G28" s="1">
        <f t="shared" si="16"/>
        <v>0.1633086956521739</v>
      </c>
      <c r="H28" s="1">
        <f t="shared" si="16"/>
        <v>1.2732195652173914</v>
      </c>
      <c r="I28" s="1">
        <f t="shared" si="16"/>
        <v>0.57864739130434784</v>
      </c>
      <c r="J28" s="1">
        <f t="shared" si="16"/>
        <v>0.53254782608695661</v>
      </c>
      <c r="K28" s="1">
        <f t="shared" si="16"/>
        <v>0.11472989130434783</v>
      </c>
    </row>
    <row r="69" spans="4:50" x14ac:dyDescent="0.2">
      <c r="D69" s="10" t="s">
        <v>39</v>
      </c>
      <c r="E69" s="10" t="s">
        <v>39</v>
      </c>
      <c r="F69" s="10" t="s">
        <v>39</v>
      </c>
      <c r="G69" s="10" t="s">
        <v>39</v>
      </c>
      <c r="H69" s="10" t="s">
        <v>39</v>
      </c>
      <c r="I69" s="10" t="s">
        <v>39</v>
      </c>
      <c r="J69" s="10" t="s">
        <v>39</v>
      </c>
      <c r="K69" s="10" t="s">
        <v>39</v>
      </c>
      <c r="L69" s="10"/>
      <c r="M69" s="10"/>
      <c r="N69" s="10" t="s">
        <v>39</v>
      </c>
      <c r="O69" s="10" t="s">
        <v>39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T69" t="s">
        <v>44</v>
      </c>
      <c r="AW69" t="s">
        <v>44</v>
      </c>
      <c r="AX69" t="s">
        <v>44</v>
      </c>
    </row>
    <row r="70" spans="4:50" x14ac:dyDescent="0.2">
      <c r="D70" s="1" t="s">
        <v>38</v>
      </c>
      <c r="E70" s="1" t="s">
        <v>1</v>
      </c>
      <c r="F70" s="1" t="s">
        <v>5</v>
      </c>
      <c r="G70" s="1" t="s">
        <v>8</v>
      </c>
      <c r="H70" s="1" t="s">
        <v>4</v>
      </c>
      <c r="I70" s="1" t="s">
        <v>0</v>
      </c>
      <c r="J70" s="1" t="s">
        <v>33</v>
      </c>
      <c r="K70" s="1" t="s">
        <v>6</v>
      </c>
      <c r="N70" t="s">
        <v>3</v>
      </c>
      <c r="O70" t="s">
        <v>7</v>
      </c>
      <c r="AE70" t="s">
        <v>38</v>
      </c>
      <c r="AF70" t="s">
        <v>1</v>
      </c>
      <c r="AG70" t="s">
        <v>5</v>
      </c>
      <c r="AH70" t="s">
        <v>8</v>
      </c>
      <c r="AI70" t="s">
        <v>4</v>
      </c>
      <c r="AJ70" t="s">
        <v>0</v>
      </c>
      <c r="AK70" t="s">
        <v>33</v>
      </c>
      <c r="AT70" t="s">
        <v>6</v>
      </c>
      <c r="AW70" t="s">
        <v>3</v>
      </c>
      <c r="AX70" t="s">
        <v>7</v>
      </c>
    </row>
    <row r="71" spans="4:50" x14ac:dyDescent="0.2">
      <c r="D71" s="1">
        <v>1.0716560509554141</v>
      </c>
      <c r="E71" s="1">
        <v>1.0526315789473684</v>
      </c>
      <c r="F71" s="1">
        <v>0.16904761904761903</v>
      </c>
      <c r="G71" s="1">
        <v>0.95333333333333337</v>
      </c>
      <c r="H71" s="1">
        <v>0.6470588235294118</v>
      </c>
      <c r="I71" s="1">
        <v>0.58636363636363631</v>
      </c>
      <c r="J71" s="1">
        <v>0.3923076923076923</v>
      </c>
      <c r="K71" s="1">
        <v>0.86599999999999999</v>
      </c>
      <c r="N71">
        <v>1.0058823529411764</v>
      </c>
      <c r="O71">
        <v>0.43099999999999999</v>
      </c>
      <c r="AE71">
        <v>1.0716560509554141</v>
      </c>
      <c r="AF71">
        <v>0.84656084656084662</v>
      </c>
      <c r="AG71">
        <v>0.5461538461538461</v>
      </c>
      <c r="AH71">
        <v>0.66</v>
      </c>
      <c r="AI71">
        <v>0.59459459459459463</v>
      </c>
      <c r="AJ71">
        <v>0.58636363636363631</v>
      </c>
      <c r="AK71">
        <v>1.2750000000000001</v>
      </c>
      <c r="AT71">
        <v>0.433</v>
      </c>
      <c r="AW71">
        <v>0.28500000000000003</v>
      </c>
      <c r="AX71">
        <v>3.7363636363636363</v>
      </c>
    </row>
    <row r="72" spans="4:50" x14ac:dyDescent="0.2">
      <c r="D72" s="1">
        <v>1.1178343949044587</v>
      </c>
      <c r="E72" s="1">
        <v>1.4276315789473684</v>
      </c>
      <c r="F72" s="1">
        <v>0.1138095238095238</v>
      </c>
      <c r="G72" s="1">
        <v>0.85777777777777775</v>
      </c>
      <c r="H72" s="1">
        <v>0.62352941176470589</v>
      </c>
      <c r="I72" s="1">
        <v>0.47272727272727272</v>
      </c>
      <c r="J72" s="1">
        <v>0.38461538461538464</v>
      </c>
      <c r="K72" s="1">
        <v>1.266</v>
      </c>
      <c r="N72">
        <v>0.77647058823529413</v>
      </c>
      <c r="O72">
        <v>0.70899999999999996</v>
      </c>
      <c r="AE72">
        <v>1.1178343949044587</v>
      </c>
      <c r="AF72">
        <v>1.1481481481481481</v>
      </c>
      <c r="AG72">
        <v>0.36769230769230765</v>
      </c>
      <c r="AH72">
        <v>0.5938461538461538</v>
      </c>
      <c r="AI72">
        <v>0.572972972972973</v>
      </c>
      <c r="AJ72">
        <v>0.47272727272727272</v>
      </c>
      <c r="AK72">
        <v>1.25</v>
      </c>
      <c r="AT72">
        <v>0.63300000000000001</v>
      </c>
      <c r="AW72">
        <v>0.22000000000000003</v>
      </c>
      <c r="AX72">
        <v>0.39181818181818179</v>
      </c>
    </row>
    <row r="73" spans="4:50" x14ac:dyDescent="0.2">
      <c r="D73" s="1">
        <v>1.1449044585987262</v>
      </c>
      <c r="E73" s="1">
        <v>1.0263157894736843</v>
      </c>
      <c r="F73" s="1">
        <v>0.21023809523809522</v>
      </c>
      <c r="G73" s="1">
        <v>0.9866666666666668</v>
      </c>
      <c r="H73" s="1">
        <v>0.75882352941176479</v>
      </c>
      <c r="I73" s="1">
        <v>0.65454545454545443</v>
      </c>
      <c r="J73" s="1">
        <v>0.41538461538461541</v>
      </c>
      <c r="K73" s="1">
        <v>1.288</v>
      </c>
      <c r="N73">
        <v>0.93529411764705872</v>
      </c>
      <c r="O73">
        <v>0.23199999999999998</v>
      </c>
      <c r="AE73">
        <v>1.1449044585987262</v>
      </c>
      <c r="AF73">
        <v>0.82539682539682546</v>
      </c>
      <c r="AG73">
        <v>0.67923076923076919</v>
      </c>
      <c r="AH73">
        <v>0.68307692307692314</v>
      </c>
      <c r="AI73">
        <v>0.69729729729729728</v>
      </c>
      <c r="AJ73">
        <v>0.65454545454545443</v>
      </c>
      <c r="AK73">
        <v>1.35</v>
      </c>
      <c r="AT73">
        <v>0.64400000000000002</v>
      </c>
      <c r="AW73">
        <v>0.26500000000000001</v>
      </c>
      <c r="AX73">
        <v>0.64454545454545453</v>
      </c>
    </row>
    <row r="74" spans="4:50" x14ac:dyDescent="0.2">
      <c r="D74" s="1">
        <v>1.1624203821656052</v>
      </c>
      <c r="E74" s="1">
        <v>1.3289473684210527</v>
      </c>
      <c r="F74" s="1">
        <v>7.1428571428571425E-2</v>
      </c>
      <c r="G74" s="1">
        <v>0.55555555555555558</v>
      </c>
      <c r="H74" s="1">
        <v>0.37647058823529411</v>
      </c>
      <c r="I74" s="1">
        <v>0.71818181818181814</v>
      </c>
      <c r="J74" s="1">
        <v>0.30769230769230771</v>
      </c>
      <c r="K74" s="1">
        <v>0.76800000000000002</v>
      </c>
      <c r="N74">
        <v>0.78235294117647058</v>
      </c>
      <c r="O74">
        <v>4.3999999999999997E-2</v>
      </c>
      <c r="AE74">
        <v>1.1624203821656052</v>
      </c>
      <c r="AF74">
        <v>1.0687830687830688</v>
      </c>
      <c r="AG74">
        <v>0.23076923076923075</v>
      </c>
      <c r="AH74">
        <v>0.38461538461538464</v>
      </c>
      <c r="AI74">
        <v>0.34594594594594591</v>
      </c>
      <c r="AJ74">
        <v>0.71818181818181814</v>
      </c>
      <c r="AK74">
        <v>1</v>
      </c>
      <c r="AT74">
        <v>0.38400000000000001</v>
      </c>
      <c r="AW74">
        <v>0.22166666666666668</v>
      </c>
      <c r="AX74">
        <v>0.21090909090909091</v>
      </c>
    </row>
    <row r="75" spans="4:50" x14ac:dyDescent="0.2">
      <c r="D75" s="1">
        <v>1.1640127388535031</v>
      </c>
      <c r="E75" s="1">
        <v>1.6315789473684212</v>
      </c>
      <c r="F75" s="1">
        <v>7.5404761904761891E-2</v>
      </c>
      <c r="G75" s="1">
        <v>0.13044444444444445</v>
      </c>
      <c r="H75" s="1">
        <v>9.8235294117647073E-2</v>
      </c>
      <c r="I75" s="1">
        <v>0.40909090909090906</v>
      </c>
      <c r="J75" s="1">
        <v>3.0769230769230767E-2</v>
      </c>
      <c r="K75" s="1">
        <v>0.23</v>
      </c>
      <c r="N75">
        <v>0.53235294117647058</v>
      </c>
      <c r="O75">
        <v>1.0399999999999998</v>
      </c>
      <c r="AE75">
        <v>1.1640127388535031</v>
      </c>
      <c r="AF75">
        <v>1.3121693121693123</v>
      </c>
      <c r="AG75">
        <v>0.24361538461538459</v>
      </c>
      <c r="AH75">
        <v>9.0307692307692297E-2</v>
      </c>
      <c r="AI75">
        <v>9.0270270270270264E-2</v>
      </c>
      <c r="AJ75">
        <v>0.40909090909090906</v>
      </c>
      <c r="AK75">
        <v>0.1</v>
      </c>
      <c r="AT75">
        <v>0.115</v>
      </c>
      <c r="AW75">
        <v>0.15083333333333335</v>
      </c>
      <c r="AX75">
        <v>0.04</v>
      </c>
    </row>
    <row r="76" spans="4:50" x14ac:dyDescent="0.2">
      <c r="D76" s="1">
        <v>1.1496815286624205</v>
      </c>
      <c r="E76" s="1">
        <v>1.2828947368421053</v>
      </c>
      <c r="F76" s="1">
        <v>0.12357142857142857</v>
      </c>
      <c r="G76" s="1">
        <v>0.76666666666666672</v>
      </c>
      <c r="H76" s="1">
        <v>0.57352941176470584</v>
      </c>
      <c r="I76" s="1">
        <v>0.63181818181818172</v>
      </c>
      <c r="J76" s="1">
        <v>0.32051282051282054</v>
      </c>
      <c r="K76" s="1">
        <v>1.0960000000000001</v>
      </c>
      <c r="N76">
        <v>1.088235294117647</v>
      </c>
      <c r="O76">
        <v>0.62899999999999989</v>
      </c>
      <c r="AE76">
        <v>1.1496815286624205</v>
      </c>
      <c r="AF76">
        <v>1.0317460317460319</v>
      </c>
      <c r="AG76">
        <v>0.39923076923076922</v>
      </c>
      <c r="AH76">
        <v>0.53076923076923077</v>
      </c>
      <c r="AI76">
        <v>0.52702702702702697</v>
      </c>
      <c r="AJ76">
        <v>0.63181818181818172</v>
      </c>
      <c r="AK76">
        <v>1.0416666666666667</v>
      </c>
      <c r="AT76">
        <v>0.54800000000000004</v>
      </c>
      <c r="AW76">
        <v>0.30833333333333335</v>
      </c>
      <c r="AX76">
        <v>0.94545454545454544</v>
      </c>
    </row>
    <row r="77" spans="4:50" x14ac:dyDescent="0.2">
      <c r="D77" s="1">
        <v>1.1337579617834397</v>
      </c>
      <c r="E77" s="1">
        <v>1.263157894736842</v>
      </c>
      <c r="F77" s="1">
        <v>0.24523809523809523</v>
      </c>
      <c r="G77" s="1">
        <v>0.82444444444444442</v>
      </c>
      <c r="H77" s="1">
        <v>0.7</v>
      </c>
      <c r="I77" s="1">
        <v>0.6</v>
      </c>
      <c r="J77" s="1">
        <v>0.37179487179487181</v>
      </c>
      <c r="K77" s="1">
        <v>1.3</v>
      </c>
      <c r="N77">
        <v>1.2705882352941176</v>
      </c>
      <c r="O77">
        <v>0.22800000000000001</v>
      </c>
      <c r="AE77">
        <v>1.1337579617834397</v>
      </c>
      <c r="AF77">
        <v>1.0158730158730158</v>
      </c>
      <c r="AG77">
        <v>0.79230769230769227</v>
      </c>
      <c r="AH77">
        <v>0.57076923076923081</v>
      </c>
      <c r="AI77">
        <v>0.64324324324324322</v>
      </c>
      <c r="AJ77">
        <v>0.6</v>
      </c>
      <c r="AK77">
        <v>1.2083333333333333</v>
      </c>
      <c r="AT77">
        <v>0.65</v>
      </c>
      <c r="AW77">
        <v>0.36</v>
      </c>
      <c r="AX77">
        <v>0.57181818181818178</v>
      </c>
    </row>
    <row r="78" spans="4:50" x14ac:dyDescent="0.2">
      <c r="D78" s="1">
        <v>1.1242038216560508</v>
      </c>
      <c r="E78" s="1">
        <v>1.4605263157894737</v>
      </c>
      <c r="F78" s="1">
        <v>0.12023809523809523</v>
      </c>
      <c r="G78" s="1">
        <v>0.61111111111111116</v>
      </c>
      <c r="H78" s="1">
        <v>0.4264705882352941</v>
      </c>
      <c r="I78" s="1">
        <v>0.79545454545454541</v>
      </c>
      <c r="J78" s="1">
        <v>0.30769230769230771</v>
      </c>
      <c r="K78" s="1">
        <v>0.83399999999999996</v>
      </c>
      <c r="N78">
        <v>0.84705882352941164</v>
      </c>
      <c r="O78">
        <v>0.92787499999999978</v>
      </c>
      <c r="AE78">
        <v>1.1242038216560508</v>
      </c>
      <c r="AF78">
        <v>1.1746031746031746</v>
      </c>
      <c r="AG78">
        <v>0.38846153846153847</v>
      </c>
      <c r="AH78">
        <v>0.42307692307692307</v>
      </c>
      <c r="AI78">
        <v>0.39189189189189189</v>
      </c>
      <c r="AJ78">
        <v>0.79545454545454541</v>
      </c>
      <c r="AK78">
        <v>1</v>
      </c>
      <c r="AT78">
        <v>0.41699999999999998</v>
      </c>
      <c r="AW78">
        <v>0.24</v>
      </c>
      <c r="AX78">
        <v>0.20727272727272728</v>
      </c>
    </row>
    <row r="79" spans="4:50" x14ac:dyDescent="0.2">
      <c r="D79" s="1">
        <v>1.1687898089171975</v>
      </c>
      <c r="E79" s="1">
        <v>1.4539473684210529</v>
      </c>
      <c r="F79" s="1">
        <v>2.8571428571428571E-2</v>
      </c>
      <c r="G79" s="1">
        <v>0.94599999999999995</v>
      </c>
      <c r="H79" s="1">
        <v>0.19382352941176473</v>
      </c>
      <c r="I79" s="1">
        <v>0.31863636363636361</v>
      </c>
      <c r="J79" s="1">
        <v>0.14102564102564105</v>
      </c>
      <c r="K79" s="1">
        <v>0.15720000000000001</v>
      </c>
      <c r="N79">
        <v>0.57117647058823529</v>
      </c>
      <c r="O79">
        <v>0.69199999999999995</v>
      </c>
      <c r="AE79">
        <v>1.1687898089171975</v>
      </c>
      <c r="AF79">
        <v>1.1693121693121695</v>
      </c>
      <c r="AG79">
        <v>9.2307692307692299E-2</v>
      </c>
      <c r="AH79">
        <v>0.65492307692307683</v>
      </c>
      <c r="AI79">
        <v>0.17810810810810812</v>
      </c>
      <c r="AJ79">
        <v>0.31863636363636361</v>
      </c>
      <c r="AK79">
        <v>0.45833333333333337</v>
      </c>
      <c r="AT79">
        <v>7.8600000000000003E-2</v>
      </c>
      <c r="AW79">
        <v>0.16183333333333336</v>
      </c>
      <c r="AX79">
        <v>0.84352272727272715</v>
      </c>
    </row>
    <row r="80" spans="4:50" x14ac:dyDescent="0.2">
      <c r="D80" s="1">
        <v>1.1560509554140126</v>
      </c>
      <c r="E80" s="1">
        <v>1.1907894736842106</v>
      </c>
      <c r="F80" s="1">
        <v>9.9047619047619037E-2</v>
      </c>
      <c r="G80" s="1">
        <v>0.86888888888888893</v>
      </c>
      <c r="H80" s="1">
        <v>0.65294117647058836</v>
      </c>
      <c r="I80" s="1">
        <v>0.47272727272727272</v>
      </c>
      <c r="J80" s="1">
        <v>0.34358974358974359</v>
      </c>
      <c r="K80" s="1">
        <v>1.3520000000000001</v>
      </c>
      <c r="N80">
        <v>0.87058823529411755</v>
      </c>
      <c r="O80">
        <v>8.7999999999999995E-2</v>
      </c>
      <c r="AE80">
        <v>1.1560509554140126</v>
      </c>
      <c r="AF80">
        <v>0.95767195767195779</v>
      </c>
      <c r="AG80">
        <v>0.31999999999999995</v>
      </c>
      <c r="AH80">
        <v>0.60153846153846158</v>
      </c>
      <c r="AI80">
        <v>0.6</v>
      </c>
      <c r="AJ80">
        <v>0.47272727272727272</v>
      </c>
      <c r="AK80">
        <v>1.1166666666666667</v>
      </c>
      <c r="AT80">
        <v>0.67600000000000005</v>
      </c>
      <c r="AW80">
        <v>0.24666666666666667</v>
      </c>
      <c r="AX80">
        <v>0.62909090909090903</v>
      </c>
    </row>
    <row r="81" spans="4:50" x14ac:dyDescent="0.2">
      <c r="D81" s="1">
        <v>1.1385350318471339</v>
      </c>
      <c r="E81" s="1">
        <v>1.5000000000000002</v>
      </c>
      <c r="F81" s="1">
        <v>3.8809523809523808E-2</v>
      </c>
      <c r="G81" s="1">
        <v>0.66666666666666663</v>
      </c>
      <c r="H81" s="1">
        <v>0.24088235294117646</v>
      </c>
      <c r="I81" s="1">
        <v>0.6</v>
      </c>
      <c r="J81" s="1">
        <v>0.16666666666666669</v>
      </c>
      <c r="K81" s="1">
        <v>0.41599999999999998</v>
      </c>
      <c r="N81">
        <v>0.92352941176470582</v>
      </c>
      <c r="O81">
        <v>0.28699999999999998</v>
      </c>
      <c r="AE81">
        <v>1.1385350318471339</v>
      </c>
      <c r="AF81">
        <v>1.2063492063492065</v>
      </c>
      <c r="AG81">
        <v>0.12538461538461537</v>
      </c>
      <c r="AH81">
        <v>0.46153846153846156</v>
      </c>
      <c r="AI81">
        <v>0.22135135135135134</v>
      </c>
      <c r="AJ81">
        <v>0.6</v>
      </c>
      <c r="AK81">
        <v>0.54166666666666674</v>
      </c>
      <c r="AT81">
        <v>0.20799999999999999</v>
      </c>
      <c r="AW81">
        <v>0.26166666666666666</v>
      </c>
      <c r="AX81">
        <v>0.08</v>
      </c>
    </row>
    <row r="82" spans="4:50" x14ac:dyDescent="0.2">
      <c r="D82" s="1">
        <v>1.1640127388535031</v>
      </c>
      <c r="E82" s="1">
        <v>1.4671052631578949</v>
      </c>
      <c r="F82" s="1">
        <v>1.6309523809523808E-2</v>
      </c>
      <c r="G82" s="1">
        <v>0.42666666666666664</v>
      </c>
      <c r="H82" s="1">
        <v>0.29411764705882354</v>
      </c>
      <c r="I82" s="1">
        <v>0.48636363636363633</v>
      </c>
      <c r="J82" s="1">
        <v>0.2</v>
      </c>
      <c r="K82" s="1">
        <v>0.59799999999999998</v>
      </c>
      <c r="N82">
        <v>0.78235294117647058</v>
      </c>
      <c r="O82">
        <v>12.799999999999999</v>
      </c>
      <c r="AE82">
        <v>1.1640127388535031</v>
      </c>
      <c r="AF82">
        <v>1.17989417989418</v>
      </c>
      <c r="AG82">
        <v>5.2692307692307698E-2</v>
      </c>
      <c r="AH82">
        <v>0.29538461538461536</v>
      </c>
      <c r="AI82">
        <v>0.27027027027027023</v>
      </c>
      <c r="AJ82">
        <v>0.48636363636363633</v>
      </c>
      <c r="AK82">
        <v>0.65</v>
      </c>
      <c r="AT82">
        <v>0.29899999999999999</v>
      </c>
      <c r="AW82">
        <v>0.22166666666666668</v>
      </c>
      <c r="AX82">
        <v>0.26090909090909092</v>
      </c>
    </row>
    <row r="83" spans="4:50" x14ac:dyDescent="0.2">
      <c r="D83" s="1">
        <v>1.0429936305732486</v>
      </c>
      <c r="E83" s="1">
        <v>1.2039473684210527</v>
      </c>
      <c r="F83" s="1">
        <v>0.40952380952380951</v>
      </c>
      <c r="G83" s="1">
        <v>1.1644444444444444</v>
      </c>
      <c r="H83" s="1">
        <v>0.70882352941176474</v>
      </c>
      <c r="I83" s="1">
        <v>0.40818181818181815</v>
      </c>
      <c r="J83" s="1">
        <v>0.42307692307692307</v>
      </c>
      <c r="K83" s="1">
        <v>1.25</v>
      </c>
      <c r="N83">
        <v>2.8705882352941172</v>
      </c>
      <c r="O83">
        <v>0.49</v>
      </c>
      <c r="AE83">
        <v>1.0429936305732486</v>
      </c>
      <c r="AF83">
        <v>0.96825396825396837</v>
      </c>
      <c r="AG83">
        <v>1.323076923076923</v>
      </c>
      <c r="AH83">
        <v>0.80615384615384622</v>
      </c>
      <c r="AI83">
        <v>0.65135135135135136</v>
      </c>
      <c r="AJ83">
        <v>0.40818181818181815</v>
      </c>
      <c r="AK83">
        <v>1.375</v>
      </c>
      <c r="AT83">
        <v>0.625</v>
      </c>
      <c r="AW83">
        <v>0.81333333333333335</v>
      </c>
      <c r="AX83">
        <v>11.636363636363637</v>
      </c>
    </row>
    <row r="84" spans="4:50" x14ac:dyDescent="0.2">
      <c r="D84" s="1">
        <v>1.1019108280254779</v>
      </c>
      <c r="E84" s="1">
        <v>1.4144736842105263</v>
      </c>
      <c r="F84" s="1">
        <v>0.12261904761904761</v>
      </c>
      <c r="G84" s="1">
        <v>0.46222222222222226</v>
      </c>
      <c r="H84" s="1">
        <v>0.94705882352941184</v>
      </c>
      <c r="I84" s="1">
        <v>0.78636363636363626</v>
      </c>
      <c r="J84" s="1">
        <v>0.49230769230769228</v>
      </c>
      <c r="K84" s="1">
        <v>1.79</v>
      </c>
      <c r="N84">
        <v>0.69411764705882339</v>
      </c>
      <c r="O84">
        <v>0.44400000000000001</v>
      </c>
      <c r="AE84">
        <v>1.1019108280254779</v>
      </c>
      <c r="AF84">
        <v>1.1375661375661377</v>
      </c>
      <c r="AG84">
        <v>0.39615384615384613</v>
      </c>
      <c r="AH84">
        <v>0.32</v>
      </c>
      <c r="AI84">
        <v>0.87027027027027026</v>
      </c>
      <c r="AJ84">
        <v>0.78636363636363626</v>
      </c>
      <c r="AK84">
        <v>1.6</v>
      </c>
      <c r="AT84">
        <v>0.89500000000000002</v>
      </c>
      <c r="AW84">
        <v>0.19666666666666666</v>
      </c>
      <c r="AX84">
        <v>0.44545454545454549</v>
      </c>
    </row>
    <row r="85" spans="4:50" x14ac:dyDescent="0.2">
      <c r="D85" s="1">
        <v>1.1305732484076434</v>
      </c>
      <c r="E85" s="1">
        <v>1.1578947368421053</v>
      </c>
      <c r="F85" s="1">
        <v>0.22285714285714286</v>
      </c>
      <c r="G85" s="1">
        <v>1.0777777777777777</v>
      </c>
      <c r="H85" s="1">
        <v>0.87647058823529411</v>
      </c>
      <c r="I85" s="1">
        <v>0.44590909090909087</v>
      </c>
      <c r="J85" s="1">
        <v>0.4966666666666667</v>
      </c>
      <c r="K85" s="1">
        <v>1.6279999999999999</v>
      </c>
      <c r="N85">
        <v>1</v>
      </c>
      <c r="O85">
        <v>0.193</v>
      </c>
      <c r="AE85">
        <v>1.1305732484076434</v>
      </c>
      <c r="AF85">
        <v>0.93121693121693139</v>
      </c>
      <c r="AG85">
        <v>0.72</v>
      </c>
      <c r="AH85">
        <v>0.74615384615384606</v>
      </c>
      <c r="AI85">
        <v>0.80540540540540539</v>
      </c>
      <c r="AJ85">
        <v>0.44590909090909087</v>
      </c>
      <c r="AK85">
        <v>1.6141666666666667</v>
      </c>
      <c r="AT85">
        <v>0.81399999999999995</v>
      </c>
      <c r="AW85">
        <v>0.28333333333333338</v>
      </c>
      <c r="AX85">
        <v>0.40363636363636363</v>
      </c>
    </row>
    <row r="86" spans="4:50" x14ac:dyDescent="0.2">
      <c r="D86" s="1">
        <v>1.1449044585987262</v>
      </c>
      <c r="E86" s="1">
        <v>1.5131578947368423</v>
      </c>
      <c r="F86" s="1">
        <v>5.8857142857142858E-2</v>
      </c>
      <c r="G86" s="1">
        <v>0.49555555555555553</v>
      </c>
      <c r="H86" s="1">
        <v>0.38823529411764707</v>
      </c>
      <c r="I86" s="1">
        <v>0.36454545454545456</v>
      </c>
      <c r="J86" s="1">
        <v>0.22000000000000003</v>
      </c>
      <c r="K86" s="1">
        <v>0.86399999999999999</v>
      </c>
      <c r="N86">
        <v>0.48176470588235293</v>
      </c>
      <c r="O86">
        <v>0.40399999999999997</v>
      </c>
      <c r="AE86">
        <v>1.1449044585987262</v>
      </c>
      <c r="AF86">
        <v>1.216931216931217</v>
      </c>
      <c r="AG86">
        <v>0.19015384615384615</v>
      </c>
      <c r="AH86">
        <v>0.34307692307692306</v>
      </c>
      <c r="AI86">
        <v>0.35675675675675678</v>
      </c>
      <c r="AJ86">
        <v>0.36454545454545456</v>
      </c>
      <c r="AK86">
        <v>0.71500000000000008</v>
      </c>
      <c r="AT86">
        <v>0.432</v>
      </c>
      <c r="AW86">
        <v>0.13650000000000001</v>
      </c>
      <c r="AX86">
        <v>0.17545454545454547</v>
      </c>
    </row>
    <row r="87" spans="4:50" x14ac:dyDescent="0.2">
      <c r="D87" s="1">
        <v>1.1242038216560508</v>
      </c>
      <c r="E87" s="1">
        <v>1.3157894736842106</v>
      </c>
      <c r="F87" s="1">
        <v>0.17190476190476189</v>
      </c>
      <c r="G87" s="1">
        <v>0.88444444444444448</v>
      </c>
      <c r="H87" s="1">
        <v>0.80588235294117661</v>
      </c>
      <c r="I87" s="1">
        <v>0.35136363636363632</v>
      </c>
      <c r="J87" s="1">
        <v>0.45666666666666672</v>
      </c>
      <c r="K87" s="1">
        <v>1.5880000000000001</v>
      </c>
      <c r="N87">
        <v>0.93529411764705872</v>
      </c>
      <c r="O87">
        <v>0.73599999999999999</v>
      </c>
      <c r="AE87">
        <v>1.1242038216560508</v>
      </c>
      <c r="AF87">
        <v>1.0582010582010584</v>
      </c>
      <c r="AG87">
        <v>0.55538461538461537</v>
      </c>
      <c r="AH87">
        <v>0.61230769230769233</v>
      </c>
      <c r="AI87">
        <v>0.74054054054054053</v>
      </c>
      <c r="AJ87">
        <v>0.35136363636363632</v>
      </c>
      <c r="AK87">
        <v>1.4841666666666669</v>
      </c>
      <c r="AT87">
        <v>0.79400000000000004</v>
      </c>
      <c r="AW87">
        <v>0.26500000000000001</v>
      </c>
      <c r="AX87">
        <v>0.36727272727272725</v>
      </c>
    </row>
    <row r="88" spans="4:50" x14ac:dyDescent="0.2">
      <c r="D88" s="1">
        <v>1.0780254777070064</v>
      </c>
      <c r="E88" s="1">
        <v>1.2894736842105265</v>
      </c>
      <c r="F88" s="1">
        <v>0.28095238095238095</v>
      </c>
      <c r="G88" s="1">
        <v>1.3355555555555556</v>
      </c>
      <c r="H88" s="1">
        <v>0.74705882352941178</v>
      </c>
      <c r="I88" s="1">
        <v>0.73636363636363633</v>
      </c>
      <c r="J88" s="1">
        <v>0.42333333333333334</v>
      </c>
      <c r="K88" s="1">
        <v>1.5980000000000001</v>
      </c>
      <c r="N88">
        <v>1.5411764705882351</v>
      </c>
      <c r="O88">
        <v>0.85499999999999998</v>
      </c>
      <c r="AE88">
        <v>1.0780254777070064</v>
      </c>
      <c r="AF88">
        <v>1.0370370370370372</v>
      </c>
      <c r="AG88">
        <v>0.90769230769230758</v>
      </c>
      <c r="AH88">
        <v>0.92461538461538462</v>
      </c>
      <c r="AI88">
        <v>0.68648648648648647</v>
      </c>
      <c r="AJ88">
        <v>0.73636363636363633</v>
      </c>
      <c r="AK88">
        <v>1.3758333333333335</v>
      </c>
      <c r="AT88">
        <v>0.79900000000000004</v>
      </c>
      <c r="AW88">
        <v>0.4366666666666667</v>
      </c>
      <c r="AX88">
        <v>0.66909090909090907</v>
      </c>
    </row>
    <row r="89" spans="4:50" x14ac:dyDescent="0.2">
      <c r="D89" s="1">
        <v>1.1194267515923566</v>
      </c>
      <c r="E89" s="1">
        <v>1.1710526315789476</v>
      </c>
      <c r="F89" s="1">
        <v>0.11809523809523809</v>
      </c>
      <c r="G89" s="1">
        <v>1.1066666666666667</v>
      </c>
      <c r="H89" s="1">
        <v>0.80882352941176472</v>
      </c>
      <c r="I89" s="1">
        <v>0.45909090909090905</v>
      </c>
      <c r="J89" s="1">
        <v>0.45833333333333337</v>
      </c>
      <c r="K89" s="1">
        <v>1.802</v>
      </c>
      <c r="N89">
        <v>0.75882352941176467</v>
      </c>
      <c r="O89">
        <v>2.7E-2</v>
      </c>
      <c r="AE89">
        <v>1.1194267515923566</v>
      </c>
      <c r="AF89">
        <v>0.94179894179894186</v>
      </c>
      <c r="AG89">
        <v>0.38153846153846155</v>
      </c>
      <c r="AH89">
        <v>0.76615384615384619</v>
      </c>
      <c r="AI89">
        <v>0.7432432432432432</v>
      </c>
      <c r="AJ89">
        <v>0.45909090909090905</v>
      </c>
      <c r="AK89">
        <v>1.4895833333333335</v>
      </c>
      <c r="AT89">
        <v>0.90100000000000002</v>
      </c>
      <c r="AW89">
        <v>0.21500000000000002</v>
      </c>
      <c r="AX89">
        <v>0.77727272727272734</v>
      </c>
    </row>
    <row r="90" spans="4:50" x14ac:dyDescent="0.2">
      <c r="D90" s="1">
        <v>1.1958598726114649</v>
      </c>
      <c r="E90" s="1">
        <v>1.5197368421052633</v>
      </c>
      <c r="F90" s="1">
        <v>2.4140476190476188E-2</v>
      </c>
      <c r="G90" s="1">
        <v>8.1777777777777783E-2</v>
      </c>
      <c r="H90" s="1">
        <v>0.11264705882352942</v>
      </c>
      <c r="I90" s="1">
        <v>0.31545454545454543</v>
      </c>
      <c r="J90" s="1">
        <v>6.3833333333333339E-2</v>
      </c>
      <c r="K90" s="1">
        <v>0.23599999999999999</v>
      </c>
      <c r="N90">
        <v>0.52294117647058824</v>
      </c>
      <c r="O90">
        <v>0.57699999999999996</v>
      </c>
      <c r="AE90">
        <v>1.1958598726114649</v>
      </c>
      <c r="AF90">
        <v>1.2222222222222223</v>
      </c>
      <c r="AG90">
        <v>7.799230769230768E-2</v>
      </c>
      <c r="AH90">
        <v>5.6615384615384616E-2</v>
      </c>
      <c r="AI90">
        <v>0.10351351351351351</v>
      </c>
      <c r="AJ90">
        <v>0.31545454545454543</v>
      </c>
      <c r="AK90">
        <v>0.20745833333333336</v>
      </c>
      <c r="AT90">
        <v>0.11799999999999999</v>
      </c>
      <c r="AW90">
        <v>0.1481666666666667</v>
      </c>
      <c r="AX90">
        <v>2.4545454545454547E-2</v>
      </c>
    </row>
    <row r="91" spans="4:50" x14ac:dyDescent="0.2">
      <c r="D91" s="1">
        <v>1.0732484076433122</v>
      </c>
      <c r="E91" s="1">
        <v>1.3026315789473686</v>
      </c>
      <c r="F91" s="1">
        <v>0.26190476190476192</v>
      </c>
      <c r="G91" s="1">
        <v>1.1444444444444446</v>
      </c>
      <c r="H91" s="1">
        <v>0.96470588235294119</v>
      </c>
      <c r="I91" s="1">
        <v>0.8136363636363636</v>
      </c>
      <c r="J91" s="1">
        <v>0.54666666666666675</v>
      </c>
      <c r="K91" s="1">
        <v>1.9419999999999999</v>
      </c>
      <c r="N91">
        <v>0.84705882352941164</v>
      </c>
      <c r="O91">
        <v>0.31699999999999995</v>
      </c>
      <c r="AE91">
        <v>1.0732484076433122</v>
      </c>
      <c r="AF91">
        <v>1.0476190476190477</v>
      </c>
      <c r="AG91">
        <v>0.84615384615384615</v>
      </c>
      <c r="AH91">
        <v>0.79230769230769238</v>
      </c>
      <c r="AI91">
        <v>0.88648648648648642</v>
      </c>
      <c r="AJ91">
        <v>0.8136363636363636</v>
      </c>
      <c r="AK91">
        <v>1.7766666666666668</v>
      </c>
      <c r="AT91">
        <v>0.97099999999999997</v>
      </c>
      <c r="AW91">
        <v>0.24</v>
      </c>
      <c r="AX91">
        <v>0.52454545454545454</v>
      </c>
    </row>
    <row r="92" spans="4:50" x14ac:dyDescent="0.2">
      <c r="D92" s="1">
        <v>1.1321656050955413</v>
      </c>
      <c r="E92" s="1">
        <v>1.4078947368421053</v>
      </c>
      <c r="F92" s="1">
        <v>0.12428571428571429</v>
      </c>
      <c r="G92" s="1">
        <v>0.61333333333333329</v>
      </c>
      <c r="H92" s="1">
        <v>0.44705882352941179</v>
      </c>
      <c r="I92" s="1">
        <v>0.86818181818181805</v>
      </c>
      <c r="J92" s="1">
        <v>0.33846153846153848</v>
      </c>
      <c r="K92" s="1">
        <v>0.89200000000000002</v>
      </c>
      <c r="N92">
        <v>0.96470588235294119</v>
      </c>
      <c r="O92">
        <v>9.2999999999999985E-2</v>
      </c>
      <c r="AE92">
        <v>1.1321656050955413</v>
      </c>
      <c r="AF92">
        <v>1.1322751322751323</v>
      </c>
      <c r="AG92">
        <v>0.40153846153846157</v>
      </c>
      <c r="AH92">
        <v>0.42461538461538456</v>
      </c>
      <c r="AI92">
        <v>0.41081081081081078</v>
      </c>
      <c r="AJ92">
        <v>0.86818181818181805</v>
      </c>
      <c r="AK92">
        <v>1.1000000000000001</v>
      </c>
      <c r="AT92">
        <v>0.44600000000000001</v>
      </c>
      <c r="AW92">
        <v>0.27333333333333337</v>
      </c>
      <c r="AX92">
        <v>0.28818181818181815</v>
      </c>
    </row>
    <row r="93" spans="4:50" x14ac:dyDescent="0.2">
      <c r="D93" s="1">
        <v>1.1974522292993632</v>
      </c>
      <c r="E93" s="1">
        <v>1.3355263157894739</v>
      </c>
      <c r="F93" s="1">
        <v>1.1404761904761904E-2</v>
      </c>
      <c r="G93" s="1">
        <v>0.29555555555555557</v>
      </c>
      <c r="H93" s="1">
        <v>0.2461764705882353</v>
      </c>
      <c r="I93" s="1">
        <v>0.32909090909090905</v>
      </c>
      <c r="J93" s="1">
        <v>0.13950000000000001</v>
      </c>
      <c r="K93" s="1">
        <v>0.498</v>
      </c>
      <c r="N93">
        <v>0.55705882352941172</v>
      </c>
      <c r="O93">
        <v>3.3999999999999996E-2</v>
      </c>
      <c r="AE93">
        <v>1.1974522292993632</v>
      </c>
      <c r="AF93">
        <v>1.0740740740740742</v>
      </c>
      <c r="AG93">
        <v>3.6846153846153841E-2</v>
      </c>
      <c r="AH93">
        <v>0.20461538461538462</v>
      </c>
      <c r="AI93">
        <v>0.22621621621621621</v>
      </c>
      <c r="AJ93">
        <v>0.32909090909090905</v>
      </c>
      <c r="AK93">
        <v>0.45337500000000003</v>
      </c>
      <c r="AT93">
        <v>0.249</v>
      </c>
      <c r="AW93">
        <v>0.15783333333333335</v>
      </c>
      <c r="AX93">
        <v>8.4545454545454535E-2</v>
      </c>
    </row>
    <row r="94" spans="4:50" x14ac:dyDescent="0.2">
      <c r="D94" s="1">
        <v>1.1910828025477707</v>
      </c>
      <c r="E94" s="1">
        <v>1.486842105263158</v>
      </c>
      <c r="F94" s="1">
        <v>5.0523809523809519E-2</v>
      </c>
      <c r="G94" s="1">
        <v>0.10555555555555556</v>
      </c>
      <c r="H94" s="1">
        <v>0.11970588235294118</v>
      </c>
      <c r="I94" s="1">
        <v>0.42318181818181816</v>
      </c>
      <c r="J94" s="1">
        <v>6.7833333333333343E-2</v>
      </c>
      <c r="K94" s="1">
        <v>0.23799999999999999</v>
      </c>
      <c r="N94">
        <v>0.53529411764705881</v>
      </c>
      <c r="O94" t="e">
        <v>#VALUE!</v>
      </c>
      <c r="AE94">
        <v>1.1910828025477707</v>
      </c>
      <c r="AF94">
        <v>1.195767195767196</v>
      </c>
      <c r="AG94">
        <v>0.16323076923076923</v>
      </c>
      <c r="AH94">
        <v>7.3076923076923067E-2</v>
      </c>
      <c r="AI94">
        <v>0.10999999999999999</v>
      </c>
      <c r="AJ94">
        <v>0.42318181818181816</v>
      </c>
      <c r="AK94">
        <v>0.22045833333333334</v>
      </c>
      <c r="AT94">
        <v>0.11899999999999999</v>
      </c>
      <c r="AW94">
        <v>0.15166666666666667</v>
      </c>
      <c r="AX94">
        <v>3.0909090909090907E-2</v>
      </c>
    </row>
    <row r="96" spans="4:50" x14ac:dyDescent="0.2">
      <c r="AE96" s="1" t="s">
        <v>38</v>
      </c>
      <c r="AF96" s="1" t="s">
        <v>1</v>
      </c>
      <c r="AG96" s="1" t="s">
        <v>5</v>
      </c>
      <c r="AH96" s="1" t="s">
        <v>8</v>
      </c>
      <c r="AI96" s="1" t="s">
        <v>4</v>
      </c>
      <c r="AJ96" s="1" t="s">
        <v>0</v>
      </c>
      <c r="AK96" s="1" t="s">
        <v>33</v>
      </c>
      <c r="AL96" s="1"/>
      <c r="AM96" s="1"/>
      <c r="AN96" s="1"/>
      <c r="AO96" s="1"/>
      <c r="AP96" s="1"/>
      <c r="AQ96" s="1"/>
      <c r="AR96" s="1"/>
      <c r="AS96" s="1"/>
      <c r="AT96" s="1" t="s">
        <v>6</v>
      </c>
      <c r="AU96" s="1"/>
      <c r="AV96" s="1"/>
      <c r="AW96" t="s">
        <v>3</v>
      </c>
      <c r="AX96" t="s">
        <v>7</v>
      </c>
    </row>
    <row r="97" spans="31:50" x14ac:dyDescent="0.2">
      <c r="AE97">
        <f t="shared" ref="AE97:AE120" si="17">B3/62.8</f>
        <v>1.0716560509554141</v>
      </c>
      <c r="AF97">
        <f t="shared" ref="AF97:AF120" si="18">C3/18.9</f>
        <v>0.84656084656084662</v>
      </c>
      <c r="AG97">
        <f t="shared" ref="AG97:AG120" si="19">I3/1.3</f>
        <v>0.5461538461538461</v>
      </c>
      <c r="AH97">
        <f t="shared" ref="AH97:AH120" si="20">D3/6.5</f>
        <v>0.66</v>
      </c>
      <c r="AI97">
        <f t="shared" ref="AI97:AI120" si="21">E3/3.7</f>
        <v>0.59459459459459463</v>
      </c>
      <c r="AJ97">
        <f t="shared" ref="AJ97:AJ120" si="22">F3/2.2</f>
        <v>0.58636363636363631</v>
      </c>
      <c r="AK97">
        <f t="shared" ref="AK97:AK120" si="23">H3/1.2</f>
        <v>1.2750000000000001</v>
      </c>
      <c r="AT97">
        <f t="shared" ref="AT97:AT120" si="24">J3/1</f>
        <v>0.433</v>
      </c>
      <c r="AW97">
        <f t="shared" ref="AW97:AW120" si="25">G3/0.6</f>
        <v>0.28500000000000003</v>
      </c>
      <c r="AX97">
        <f t="shared" ref="AX97:AX120" si="26">K3/0.11</f>
        <v>3.7363636363636363</v>
      </c>
    </row>
    <row r="98" spans="31:50" x14ac:dyDescent="0.2">
      <c r="AE98">
        <f t="shared" si="17"/>
        <v>1.1178343949044587</v>
      </c>
      <c r="AF98">
        <f t="shared" si="18"/>
        <v>1.1481481481481481</v>
      </c>
      <c r="AG98">
        <f t="shared" si="19"/>
        <v>0.36769230769230765</v>
      </c>
      <c r="AH98">
        <f t="shared" si="20"/>
        <v>0.5938461538461538</v>
      </c>
      <c r="AI98">
        <f t="shared" si="21"/>
        <v>0.572972972972973</v>
      </c>
      <c r="AJ98">
        <f t="shared" si="22"/>
        <v>0.47272727272727272</v>
      </c>
      <c r="AK98">
        <f t="shared" si="23"/>
        <v>1.25</v>
      </c>
      <c r="AT98">
        <f t="shared" si="24"/>
        <v>0.63300000000000001</v>
      </c>
      <c r="AW98">
        <f t="shared" si="25"/>
        <v>0.22000000000000003</v>
      </c>
      <c r="AX98">
        <f t="shared" si="26"/>
        <v>0.39181818181818179</v>
      </c>
    </row>
    <row r="99" spans="31:50" x14ac:dyDescent="0.2">
      <c r="AE99">
        <f t="shared" si="17"/>
        <v>1.1449044585987262</v>
      </c>
      <c r="AF99">
        <f t="shared" si="18"/>
        <v>0.82539682539682546</v>
      </c>
      <c r="AG99">
        <f t="shared" si="19"/>
        <v>0.67923076923076919</v>
      </c>
      <c r="AH99">
        <f t="shared" si="20"/>
        <v>0.68307692307692314</v>
      </c>
      <c r="AI99">
        <f t="shared" si="21"/>
        <v>0.69729729729729728</v>
      </c>
      <c r="AJ99">
        <f t="shared" si="22"/>
        <v>0.65454545454545443</v>
      </c>
      <c r="AK99">
        <f t="shared" si="23"/>
        <v>1.35</v>
      </c>
      <c r="AT99">
        <f t="shared" si="24"/>
        <v>0.64400000000000002</v>
      </c>
      <c r="AW99">
        <f t="shared" si="25"/>
        <v>0.26500000000000001</v>
      </c>
      <c r="AX99">
        <f t="shared" si="26"/>
        <v>0.64454545454545453</v>
      </c>
    </row>
    <row r="100" spans="31:50" x14ac:dyDescent="0.2">
      <c r="AE100">
        <f t="shared" si="17"/>
        <v>1.1624203821656052</v>
      </c>
      <c r="AF100">
        <f t="shared" si="18"/>
        <v>1.0687830687830688</v>
      </c>
      <c r="AG100">
        <f t="shared" si="19"/>
        <v>0.23076923076923075</v>
      </c>
      <c r="AH100">
        <f t="shared" si="20"/>
        <v>0.38461538461538464</v>
      </c>
      <c r="AI100">
        <f t="shared" si="21"/>
        <v>0.34594594594594591</v>
      </c>
      <c r="AJ100">
        <f t="shared" si="22"/>
        <v>0.71818181818181814</v>
      </c>
      <c r="AK100">
        <f t="shared" si="23"/>
        <v>1</v>
      </c>
      <c r="AT100">
        <f t="shared" si="24"/>
        <v>0.38400000000000001</v>
      </c>
      <c r="AW100">
        <f t="shared" si="25"/>
        <v>0.22166666666666668</v>
      </c>
      <c r="AX100">
        <f t="shared" si="26"/>
        <v>0.21090909090909091</v>
      </c>
    </row>
    <row r="101" spans="31:50" x14ac:dyDescent="0.2">
      <c r="AE101">
        <f t="shared" si="17"/>
        <v>1.1640127388535031</v>
      </c>
      <c r="AF101">
        <f t="shared" si="18"/>
        <v>1.3121693121693123</v>
      </c>
      <c r="AG101">
        <f t="shared" si="19"/>
        <v>0.24361538461538459</v>
      </c>
      <c r="AH101">
        <f t="shared" si="20"/>
        <v>9.0307692307692297E-2</v>
      </c>
      <c r="AI101">
        <f t="shared" si="21"/>
        <v>9.0270270270270264E-2</v>
      </c>
      <c r="AJ101">
        <f t="shared" si="22"/>
        <v>0.40909090909090906</v>
      </c>
      <c r="AK101">
        <f t="shared" si="23"/>
        <v>0.1</v>
      </c>
      <c r="AT101">
        <f t="shared" si="24"/>
        <v>0.115</v>
      </c>
      <c r="AW101">
        <f t="shared" si="25"/>
        <v>0.15083333333333335</v>
      </c>
      <c r="AX101">
        <f t="shared" si="26"/>
        <v>0.04</v>
      </c>
    </row>
    <row r="102" spans="31:50" x14ac:dyDescent="0.2">
      <c r="AE102">
        <f t="shared" si="17"/>
        <v>1.1496815286624205</v>
      </c>
      <c r="AF102">
        <f t="shared" si="18"/>
        <v>1.0317460317460319</v>
      </c>
      <c r="AG102">
        <f t="shared" si="19"/>
        <v>0.39923076923076922</v>
      </c>
      <c r="AH102">
        <f t="shared" si="20"/>
        <v>0.53076923076923077</v>
      </c>
      <c r="AI102">
        <f t="shared" si="21"/>
        <v>0.52702702702702697</v>
      </c>
      <c r="AJ102">
        <f t="shared" si="22"/>
        <v>0.63181818181818172</v>
      </c>
      <c r="AK102">
        <f t="shared" si="23"/>
        <v>1.0416666666666667</v>
      </c>
      <c r="AT102">
        <f t="shared" si="24"/>
        <v>0.54800000000000004</v>
      </c>
      <c r="AW102">
        <f t="shared" si="25"/>
        <v>0.30833333333333335</v>
      </c>
      <c r="AX102">
        <f t="shared" si="26"/>
        <v>0.94545454545454544</v>
      </c>
    </row>
    <row r="103" spans="31:50" x14ac:dyDescent="0.2">
      <c r="AE103">
        <f t="shared" si="17"/>
        <v>1.1337579617834397</v>
      </c>
      <c r="AF103">
        <f t="shared" si="18"/>
        <v>1.0158730158730158</v>
      </c>
      <c r="AG103">
        <f t="shared" si="19"/>
        <v>0.79230769230769227</v>
      </c>
      <c r="AH103">
        <f t="shared" si="20"/>
        <v>0.57076923076923081</v>
      </c>
      <c r="AI103">
        <f t="shared" si="21"/>
        <v>0.64324324324324322</v>
      </c>
      <c r="AJ103">
        <f t="shared" si="22"/>
        <v>0.6</v>
      </c>
      <c r="AK103">
        <f t="shared" si="23"/>
        <v>1.2083333333333333</v>
      </c>
      <c r="AT103">
        <f t="shared" si="24"/>
        <v>0.65</v>
      </c>
      <c r="AW103">
        <f t="shared" si="25"/>
        <v>0.36</v>
      </c>
      <c r="AX103">
        <f t="shared" si="26"/>
        <v>0.57181818181818178</v>
      </c>
    </row>
    <row r="104" spans="31:50" x14ac:dyDescent="0.2">
      <c r="AE104">
        <f t="shared" si="17"/>
        <v>1.1242038216560508</v>
      </c>
      <c r="AF104">
        <f t="shared" si="18"/>
        <v>1.1746031746031746</v>
      </c>
      <c r="AG104">
        <f t="shared" si="19"/>
        <v>0.38846153846153847</v>
      </c>
      <c r="AH104">
        <f t="shared" si="20"/>
        <v>0.42307692307692307</v>
      </c>
      <c r="AI104">
        <f t="shared" si="21"/>
        <v>0.39189189189189189</v>
      </c>
      <c r="AJ104">
        <f t="shared" si="22"/>
        <v>0.79545454545454541</v>
      </c>
      <c r="AK104">
        <f t="shared" si="23"/>
        <v>1</v>
      </c>
      <c r="AT104">
        <f t="shared" si="24"/>
        <v>0.41699999999999998</v>
      </c>
      <c r="AW104">
        <f t="shared" si="25"/>
        <v>0.24</v>
      </c>
      <c r="AX104">
        <f t="shared" si="26"/>
        <v>0.20727272727272728</v>
      </c>
    </row>
    <row r="105" spans="31:50" x14ac:dyDescent="0.2">
      <c r="AE105">
        <f t="shared" si="17"/>
        <v>1.1687898089171975</v>
      </c>
      <c r="AF105">
        <f t="shared" si="18"/>
        <v>1.1693121693121695</v>
      </c>
      <c r="AG105">
        <f t="shared" si="19"/>
        <v>9.2307692307692299E-2</v>
      </c>
      <c r="AH105">
        <f t="shared" si="20"/>
        <v>0.65492307692307683</v>
      </c>
      <c r="AI105">
        <f t="shared" si="21"/>
        <v>0.17810810810810812</v>
      </c>
      <c r="AJ105">
        <f t="shared" si="22"/>
        <v>0.31863636363636361</v>
      </c>
      <c r="AK105">
        <f t="shared" si="23"/>
        <v>0.45833333333333337</v>
      </c>
      <c r="AT105">
        <f t="shared" si="24"/>
        <v>7.8600000000000003E-2</v>
      </c>
      <c r="AW105">
        <f t="shared" si="25"/>
        <v>0.16183333333333336</v>
      </c>
      <c r="AX105">
        <f t="shared" si="26"/>
        <v>0.84352272727272715</v>
      </c>
    </row>
    <row r="106" spans="31:50" x14ac:dyDescent="0.2">
      <c r="AE106">
        <f t="shared" si="17"/>
        <v>1.1560509554140126</v>
      </c>
      <c r="AF106">
        <f t="shared" si="18"/>
        <v>0.95767195767195779</v>
      </c>
      <c r="AG106">
        <f t="shared" si="19"/>
        <v>0.31999999999999995</v>
      </c>
      <c r="AH106">
        <f t="shared" si="20"/>
        <v>0.60153846153846158</v>
      </c>
      <c r="AI106">
        <f t="shared" si="21"/>
        <v>0.6</v>
      </c>
      <c r="AJ106">
        <f t="shared" si="22"/>
        <v>0.47272727272727272</v>
      </c>
      <c r="AK106">
        <f t="shared" si="23"/>
        <v>1.1166666666666667</v>
      </c>
      <c r="AT106">
        <f t="shared" si="24"/>
        <v>0.67600000000000005</v>
      </c>
      <c r="AW106">
        <f t="shared" si="25"/>
        <v>0.24666666666666667</v>
      </c>
      <c r="AX106">
        <f t="shared" si="26"/>
        <v>0.62909090909090903</v>
      </c>
    </row>
    <row r="107" spans="31:50" x14ac:dyDescent="0.2">
      <c r="AE107">
        <f t="shared" si="17"/>
        <v>1.1385350318471339</v>
      </c>
      <c r="AF107">
        <f t="shared" si="18"/>
        <v>1.2063492063492065</v>
      </c>
      <c r="AG107">
        <f t="shared" si="19"/>
        <v>0.12538461538461537</v>
      </c>
      <c r="AH107">
        <f t="shared" si="20"/>
        <v>0.46153846153846156</v>
      </c>
      <c r="AI107">
        <f t="shared" si="21"/>
        <v>0.22135135135135134</v>
      </c>
      <c r="AJ107">
        <f t="shared" si="22"/>
        <v>0.6</v>
      </c>
      <c r="AK107">
        <f t="shared" si="23"/>
        <v>0.54166666666666674</v>
      </c>
      <c r="AT107">
        <f t="shared" si="24"/>
        <v>0.20799999999999999</v>
      </c>
      <c r="AW107">
        <f t="shared" si="25"/>
        <v>0.26166666666666666</v>
      </c>
      <c r="AX107">
        <f t="shared" si="26"/>
        <v>0.08</v>
      </c>
    </row>
    <row r="108" spans="31:50" x14ac:dyDescent="0.2">
      <c r="AE108">
        <f t="shared" si="17"/>
        <v>1.1640127388535031</v>
      </c>
      <c r="AF108">
        <f t="shared" si="18"/>
        <v>1.17989417989418</v>
      </c>
      <c r="AG108">
        <f t="shared" si="19"/>
        <v>5.2692307692307698E-2</v>
      </c>
      <c r="AH108">
        <f t="shared" si="20"/>
        <v>0.29538461538461536</v>
      </c>
      <c r="AI108">
        <f t="shared" si="21"/>
        <v>0.27027027027027023</v>
      </c>
      <c r="AJ108">
        <f t="shared" si="22"/>
        <v>0.48636363636363633</v>
      </c>
      <c r="AK108">
        <f t="shared" si="23"/>
        <v>0.65</v>
      </c>
      <c r="AT108">
        <f t="shared" si="24"/>
        <v>0.29899999999999999</v>
      </c>
      <c r="AW108">
        <f t="shared" si="25"/>
        <v>0.22166666666666668</v>
      </c>
      <c r="AX108">
        <f t="shared" si="26"/>
        <v>0.26090909090909092</v>
      </c>
    </row>
    <row r="109" spans="31:50" x14ac:dyDescent="0.2">
      <c r="AE109">
        <f t="shared" si="17"/>
        <v>1.0429936305732486</v>
      </c>
      <c r="AF109">
        <f t="shared" si="18"/>
        <v>0.96825396825396837</v>
      </c>
      <c r="AG109">
        <f t="shared" si="19"/>
        <v>1.323076923076923</v>
      </c>
      <c r="AH109">
        <f t="shared" si="20"/>
        <v>0.80615384615384622</v>
      </c>
      <c r="AI109">
        <f t="shared" si="21"/>
        <v>0.65135135135135136</v>
      </c>
      <c r="AJ109">
        <f t="shared" si="22"/>
        <v>0.40818181818181815</v>
      </c>
      <c r="AK109">
        <f t="shared" si="23"/>
        <v>1.375</v>
      </c>
      <c r="AT109">
        <f t="shared" si="24"/>
        <v>0.625</v>
      </c>
      <c r="AW109">
        <f t="shared" si="25"/>
        <v>0.81333333333333335</v>
      </c>
      <c r="AX109">
        <f t="shared" si="26"/>
        <v>11.636363636363637</v>
      </c>
    </row>
    <row r="110" spans="31:50" x14ac:dyDescent="0.2">
      <c r="AE110">
        <f t="shared" si="17"/>
        <v>1.1019108280254779</v>
      </c>
      <c r="AF110">
        <f t="shared" si="18"/>
        <v>1.1375661375661377</v>
      </c>
      <c r="AG110">
        <f t="shared" si="19"/>
        <v>0.39615384615384613</v>
      </c>
      <c r="AH110">
        <f t="shared" si="20"/>
        <v>0.32</v>
      </c>
      <c r="AI110">
        <f t="shared" si="21"/>
        <v>0.87027027027027026</v>
      </c>
      <c r="AJ110">
        <f t="shared" si="22"/>
        <v>0.78636363636363626</v>
      </c>
      <c r="AK110">
        <f t="shared" si="23"/>
        <v>1.6</v>
      </c>
      <c r="AT110">
        <f t="shared" si="24"/>
        <v>0.89500000000000002</v>
      </c>
      <c r="AW110">
        <f t="shared" si="25"/>
        <v>0.19666666666666666</v>
      </c>
      <c r="AX110">
        <f t="shared" si="26"/>
        <v>0.44545454545454549</v>
      </c>
    </row>
    <row r="111" spans="31:50" x14ac:dyDescent="0.2">
      <c r="AE111">
        <f t="shared" si="17"/>
        <v>1.1305732484076434</v>
      </c>
      <c r="AF111">
        <f t="shared" si="18"/>
        <v>0.93121693121693139</v>
      </c>
      <c r="AG111">
        <f t="shared" si="19"/>
        <v>0.72</v>
      </c>
      <c r="AH111">
        <f t="shared" si="20"/>
        <v>0.74615384615384606</v>
      </c>
      <c r="AI111">
        <f t="shared" si="21"/>
        <v>0.80540540540540539</v>
      </c>
      <c r="AJ111">
        <f t="shared" si="22"/>
        <v>0.44590909090909087</v>
      </c>
      <c r="AK111">
        <f t="shared" si="23"/>
        <v>1.6141666666666667</v>
      </c>
      <c r="AT111">
        <f t="shared" si="24"/>
        <v>0.81399999999999995</v>
      </c>
      <c r="AW111">
        <f t="shared" si="25"/>
        <v>0.28333333333333338</v>
      </c>
      <c r="AX111">
        <f t="shared" si="26"/>
        <v>0.40363636363636363</v>
      </c>
    </row>
    <row r="112" spans="31:50" x14ac:dyDescent="0.2">
      <c r="AE112">
        <f t="shared" si="17"/>
        <v>1.1449044585987262</v>
      </c>
      <c r="AF112">
        <f t="shared" si="18"/>
        <v>1.216931216931217</v>
      </c>
      <c r="AG112">
        <f t="shared" si="19"/>
        <v>0.19015384615384615</v>
      </c>
      <c r="AH112">
        <f t="shared" si="20"/>
        <v>0.34307692307692306</v>
      </c>
      <c r="AI112">
        <f t="shared" si="21"/>
        <v>0.35675675675675678</v>
      </c>
      <c r="AJ112">
        <f t="shared" si="22"/>
        <v>0.36454545454545456</v>
      </c>
      <c r="AK112">
        <f t="shared" si="23"/>
        <v>0.71500000000000008</v>
      </c>
      <c r="AT112">
        <f t="shared" si="24"/>
        <v>0.432</v>
      </c>
      <c r="AW112">
        <f t="shared" si="25"/>
        <v>0.13650000000000001</v>
      </c>
      <c r="AX112">
        <f t="shared" si="26"/>
        <v>0.17545454545454547</v>
      </c>
    </row>
    <row r="113" spans="31:50" x14ac:dyDescent="0.2">
      <c r="AE113">
        <f t="shared" si="17"/>
        <v>1.1242038216560508</v>
      </c>
      <c r="AF113">
        <f t="shared" si="18"/>
        <v>1.0582010582010584</v>
      </c>
      <c r="AG113">
        <f t="shared" si="19"/>
        <v>0.55538461538461537</v>
      </c>
      <c r="AH113">
        <f t="shared" si="20"/>
        <v>0.61230769230769233</v>
      </c>
      <c r="AI113">
        <f t="shared" si="21"/>
        <v>0.74054054054054053</v>
      </c>
      <c r="AJ113">
        <f t="shared" si="22"/>
        <v>0.35136363636363632</v>
      </c>
      <c r="AK113">
        <f t="shared" si="23"/>
        <v>1.4841666666666669</v>
      </c>
      <c r="AT113">
        <f t="shared" si="24"/>
        <v>0.79400000000000004</v>
      </c>
      <c r="AW113">
        <f t="shared" si="25"/>
        <v>0.26500000000000001</v>
      </c>
      <c r="AX113">
        <f t="shared" si="26"/>
        <v>0.36727272727272725</v>
      </c>
    </row>
    <row r="114" spans="31:50" x14ac:dyDescent="0.2">
      <c r="AE114">
        <f t="shared" si="17"/>
        <v>1.0780254777070064</v>
      </c>
      <c r="AF114">
        <f t="shared" si="18"/>
        <v>1.0370370370370372</v>
      </c>
      <c r="AG114">
        <f t="shared" si="19"/>
        <v>0.90769230769230758</v>
      </c>
      <c r="AH114">
        <f t="shared" si="20"/>
        <v>0.92461538461538462</v>
      </c>
      <c r="AI114">
        <f t="shared" si="21"/>
        <v>0.68648648648648647</v>
      </c>
      <c r="AJ114">
        <f t="shared" si="22"/>
        <v>0.73636363636363633</v>
      </c>
      <c r="AK114">
        <f t="shared" si="23"/>
        <v>1.3758333333333335</v>
      </c>
      <c r="AT114">
        <f t="shared" si="24"/>
        <v>0.79900000000000004</v>
      </c>
      <c r="AW114">
        <f t="shared" si="25"/>
        <v>0.4366666666666667</v>
      </c>
      <c r="AX114">
        <f t="shared" si="26"/>
        <v>0.66909090909090907</v>
      </c>
    </row>
    <row r="115" spans="31:50" x14ac:dyDescent="0.2">
      <c r="AE115">
        <f t="shared" si="17"/>
        <v>1.1194267515923566</v>
      </c>
      <c r="AF115">
        <f t="shared" si="18"/>
        <v>0.94179894179894186</v>
      </c>
      <c r="AG115">
        <f t="shared" si="19"/>
        <v>0.38153846153846155</v>
      </c>
      <c r="AH115">
        <f t="shared" si="20"/>
        <v>0.76615384615384619</v>
      </c>
      <c r="AI115">
        <f t="shared" si="21"/>
        <v>0.7432432432432432</v>
      </c>
      <c r="AJ115">
        <f t="shared" si="22"/>
        <v>0.45909090909090905</v>
      </c>
      <c r="AK115">
        <f t="shared" si="23"/>
        <v>1.4895833333333335</v>
      </c>
      <c r="AT115">
        <f t="shared" si="24"/>
        <v>0.90100000000000002</v>
      </c>
      <c r="AW115">
        <f t="shared" si="25"/>
        <v>0.21500000000000002</v>
      </c>
      <c r="AX115">
        <f t="shared" si="26"/>
        <v>0.77727272727272734</v>
      </c>
    </row>
    <row r="116" spans="31:50" x14ac:dyDescent="0.2">
      <c r="AE116">
        <f t="shared" si="17"/>
        <v>1.1958598726114649</v>
      </c>
      <c r="AF116">
        <f t="shared" si="18"/>
        <v>1.2222222222222223</v>
      </c>
      <c r="AG116">
        <f t="shared" si="19"/>
        <v>7.799230769230768E-2</v>
      </c>
      <c r="AH116">
        <f t="shared" si="20"/>
        <v>5.6615384615384616E-2</v>
      </c>
      <c r="AI116">
        <f t="shared" si="21"/>
        <v>0.10351351351351351</v>
      </c>
      <c r="AJ116">
        <f t="shared" si="22"/>
        <v>0.31545454545454543</v>
      </c>
      <c r="AK116">
        <f t="shared" si="23"/>
        <v>0.20745833333333336</v>
      </c>
      <c r="AT116">
        <f t="shared" si="24"/>
        <v>0.11799999999999999</v>
      </c>
      <c r="AW116">
        <f t="shared" si="25"/>
        <v>0.1481666666666667</v>
      </c>
      <c r="AX116">
        <f t="shared" si="26"/>
        <v>2.4545454545454547E-2</v>
      </c>
    </row>
    <row r="117" spans="31:50" x14ac:dyDescent="0.2">
      <c r="AE117">
        <f t="shared" si="17"/>
        <v>1.0732484076433122</v>
      </c>
      <c r="AF117">
        <f t="shared" si="18"/>
        <v>1.0476190476190477</v>
      </c>
      <c r="AG117">
        <f t="shared" si="19"/>
        <v>0.84615384615384615</v>
      </c>
      <c r="AH117">
        <f t="shared" si="20"/>
        <v>0.79230769230769238</v>
      </c>
      <c r="AI117">
        <f t="shared" si="21"/>
        <v>0.88648648648648642</v>
      </c>
      <c r="AJ117">
        <f t="shared" si="22"/>
        <v>0.8136363636363636</v>
      </c>
      <c r="AK117">
        <f t="shared" si="23"/>
        <v>1.7766666666666668</v>
      </c>
      <c r="AT117">
        <f t="shared" si="24"/>
        <v>0.97099999999999997</v>
      </c>
      <c r="AW117">
        <f t="shared" si="25"/>
        <v>0.24</v>
      </c>
      <c r="AX117">
        <f t="shared" si="26"/>
        <v>0.52454545454545454</v>
      </c>
    </row>
    <row r="118" spans="31:50" x14ac:dyDescent="0.2">
      <c r="AE118">
        <f t="shared" si="17"/>
        <v>1.1321656050955413</v>
      </c>
      <c r="AF118">
        <f t="shared" si="18"/>
        <v>1.1322751322751323</v>
      </c>
      <c r="AG118">
        <f t="shared" si="19"/>
        <v>0.40153846153846157</v>
      </c>
      <c r="AH118">
        <f t="shared" si="20"/>
        <v>0.42461538461538456</v>
      </c>
      <c r="AI118">
        <f t="shared" si="21"/>
        <v>0.41081081081081078</v>
      </c>
      <c r="AJ118">
        <f t="shared" si="22"/>
        <v>0.86818181818181805</v>
      </c>
      <c r="AK118">
        <f t="shared" si="23"/>
        <v>1.1000000000000001</v>
      </c>
      <c r="AT118">
        <f t="shared" si="24"/>
        <v>0.44600000000000001</v>
      </c>
      <c r="AW118">
        <f t="shared" si="25"/>
        <v>0.27333333333333337</v>
      </c>
      <c r="AX118">
        <f t="shared" si="26"/>
        <v>0.28818181818181815</v>
      </c>
    </row>
    <row r="119" spans="31:50" x14ac:dyDescent="0.2">
      <c r="AE119">
        <f t="shared" si="17"/>
        <v>1.1974522292993632</v>
      </c>
      <c r="AF119">
        <f t="shared" si="18"/>
        <v>1.0740740740740742</v>
      </c>
      <c r="AG119">
        <f t="shared" si="19"/>
        <v>3.6846153846153841E-2</v>
      </c>
      <c r="AH119">
        <f t="shared" si="20"/>
        <v>0.20461538461538462</v>
      </c>
      <c r="AI119">
        <f t="shared" si="21"/>
        <v>0.22621621621621621</v>
      </c>
      <c r="AJ119">
        <f t="shared" si="22"/>
        <v>0.32909090909090905</v>
      </c>
      <c r="AK119">
        <f t="shared" si="23"/>
        <v>0.45337500000000003</v>
      </c>
      <c r="AT119">
        <f t="shared" si="24"/>
        <v>0.249</v>
      </c>
      <c r="AW119">
        <f t="shared" si="25"/>
        <v>0.15783333333333335</v>
      </c>
      <c r="AX119">
        <f t="shared" si="26"/>
        <v>8.4545454545454535E-2</v>
      </c>
    </row>
    <row r="120" spans="31:50" x14ac:dyDescent="0.2">
      <c r="AE120">
        <f t="shared" si="17"/>
        <v>1.1910828025477707</v>
      </c>
      <c r="AF120">
        <f t="shared" si="18"/>
        <v>1.195767195767196</v>
      </c>
      <c r="AG120">
        <f t="shared" si="19"/>
        <v>0.16323076923076923</v>
      </c>
      <c r="AH120">
        <f t="shared" si="20"/>
        <v>7.3076923076923067E-2</v>
      </c>
      <c r="AI120">
        <f t="shared" si="21"/>
        <v>0.10999999999999999</v>
      </c>
      <c r="AJ120">
        <f t="shared" si="22"/>
        <v>0.42318181818181816</v>
      </c>
      <c r="AK120">
        <f t="shared" si="23"/>
        <v>0.22045833333333334</v>
      </c>
      <c r="AT120">
        <f t="shared" si="24"/>
        <v>0.11899999999999999</v>
      </c>
      <c r="AW120">
        <f t="shared" si="25"/>
        <v>0.15166666666666667</v>
      </c>
      <c r="AX120">
        <f t="shared" si="26"/>
        <v>3.0909090909090907E-2</v>
      </c>
    </row>
  </sheetData>
  <mergeCells count="2">
    <mergeCell ref="B1:K1"/>
    <mergeCell ref="A1:A2"/>
  </mergeCells>
  <pageMargins left="0.42" right="0.35" top="1" bottom="0.81" header="0.5" footer="0.5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XRF Cox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GMN5</cp:lastModifiedBy>
  <cp:lastPrinted>2023-01-16T05:08:46Z</cp:lastPrinted>
  <dcterms:created xsi:type="dcterms:W3CDTF">2023-01-06T10:57:04Z</dcterms:created>
  <dcterms:modified xsi:type="dcterms:W3CDTF">2023-06-08T08:56:57Z</dcterms:modified>
</cp:coreProperties>
</file>