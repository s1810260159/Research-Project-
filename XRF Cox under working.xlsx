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GMN5\Desktop\"/>
    </mc:Choice>
  </mc:AlternateContent>
  <bookViews>
    <workbookView xWindow="32760" yWindow="495" windowWidth="20730" windowHeight="11760"/>
  </bookViews>
  <sheets>
    <sheet name="XRF Cox" sheetId="6" r:id="rId1"/>
  </sheets>
  <calcPr calcId="152511"/>
</workbook>
</file>

<file path=xl/calcChain.xml><?xml version="1.0" encoding="utf-8"?>
<calcChain xmlns="http://schemas.openxmlformats.org/spreadsheetml/2006/main">
  <c r="R4" i="6" l="1"/>
  <c r="P5" i="6"/>
  <c r="P6" i="6"/>
  <c r="P7" i="6"/>
  <c r="P8" i="6"/>
  <c r="P9" i="6"/>
  <c r="P10" i="6"/>
  <c r="P11" i="6"/>
  <c r="P12" i="6"/>
  <c r="P13" i="6"/>
  <c r="R13" i="6" s="1"/>
  <c r="P14" i="6"/>
  <c r="P15" i="6"/>
  <c r="P16" i="6"/>
  <c r="P17" i="6"/>
  <c r="P18" i="6"/>
  <c r="P19" i="6"/>
  <c r="P20" i="6"/>
  <c r="P21" i="6"/>
  <c r="R21" i="6" s="1"/>
  <c r="P22" i="6"/>
  <c r="P23" i="6"/>
  <c r="P24" i="6"/>
  <c r="P25" i="6"/>
  <c r="P26" i="6"/>
  <c r="P27" i="6"/>
  <c r="P4" i="6"/>
  <c r="B28" i="6"/>
  <c r="J28" i="6"/>
  <c r="I28" i="6"/>
  <c r="H28" i="6"/>
  <c r="G28" i="6"/>
  <c r="F28" i="6"/>
  <c r="E28" i="6"/>
  <c r="D28" i="6"/>
  <c r="C28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0" i="6"/>
  <c r="AS9" i="6"/>
  <c r="AS8" i="6"/>
  <c r="AS7" i="6"/>
  <c r="AS6" i="6"/>
  <c r="AS5" i="6"/>
  <c r="AS4" i="6"/>
  <c r="AS3" i="6"/>
  <c r="AT4" i="6"/>
  <c r="AT5" i="6"/>
  <c r="AT6" i="6"/>
  <c r="AT7" i="6"/>
  <c r="AT8" i="6"/>
  <c r="AT9" i="6"/>
  <c r="AT10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3" i="6"/>
  <c r="AQ4" i="6"/>
  <c r="AQ5" i="6"/>
  <c r="AQ6" i="6"/>
  <c r="AQ7" i="6"/>
  <c r="AQ8" i="6"/>
  <c r="AQ9" i="6"/>
  <c r="AQ10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3" i="6"/>
  <c r="AP4" i="6"/>
  <c r="AP5" i="6"/>
  <c r="AP6" i="6"/>
  <c r="AP7" i="6"/>
  <c r="AP8" i="6"/>
  <c r="AP9" i="6"/>
  <c r="AP10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3" i="6"/>
  <c r="AF4" i="6"/>
  <c r="AJ4" i="6" s="1"/>
  <c r="AF5" i="6"/>
  <c r="AJ5" i="6" s="1"/>
  <c r="AF6" i="6"/>
  <c r="AJ6" i="6" s="1"/>
  <c r="AF7" i="6"/>
  <c r="AJ7" i="6" s="1"/>
  <c r="AF8" i="6"/>
  <c r="AJ8" i="6" s="1"/>
  <c r="AF9" i="6"/>
  <c r="AJ9" i="6" s="1"/>
  <c r="AF10" i="6"/>
  <c r="AJ10" i="6" s="1"/>
  <c r="AF11" i="6"/>
  <c r="AJ11" i="6" s="1"/>
  <c r="AF12" i="6"/>
  <c r="AJ12" i="6" s="1"/>
  <c r="AF13" i="6"/>
  <c r="AJ13" i="6" s="1"/>
  <c r="AF14" i="6"/>
  <c r="AJ14" i="6" s="1"/>
  <c r="AF15" i="6"/>
  <c r="AJ15" i="6" s="1"/>
  <c r="AF16" i="6"/>
  <c r="AJ16" i="6" s="1"/>
  <c r="AF17" i="6"/>
  <c r="AJ17" i="6" s="1"/>
  <c r="AF18" i="6"/>
  <c r="AJ18" i="6" s="1"/>
  <c r="AF19" i="6"/>
  <c r="AJ19" i="6" s="1"/>
  <c r="AF20" i="6"/>
  <c r="AJ20" i="6" s="1"/>
  <c r="AF21" i="6"/>
  <c r="AJ21" i="6" s="1"/>
  <c r="AF22" i="6"/>
  <c r="AJ22" i="6" s="1"/>
  <c r="AF23" i="6"/>
  <c r="AJ23" i="6" s="1"/>
  <c r="AF24" i="6"/>
  <c r="AJ24" i="6" s="1"/>
  <c r="AF25" i="6"/>
  <c r="AJ25" i="6" s="1"/>
  <c r="AF26" i="6"/>
  <c r="AJ26" i="6" s="1"/>
  <c r="AF3" i="6"/>
  <c r="AJ3" i="6" s="1"/>
  <c r="AE4" i="6"/>
  <c r="AI4" i="6" s="1"/>
  <c r="AE5" i="6"/>
  <c r="AI5" i="6" s="1"/>
  <c r="AE6" i="6"/>
  <c r="AI6" i="6" s="1"/>
  <c r="AE7" i="6"/>
  <c r="AI7" i="6" s="1"/>
  <c r="AE8" i="6"/>
  <c r="AI8" i="6" s="1"/>
  <c r="AE9" i="6"/>
  <c r="AI9" i="6" s="1"/>
  <c r="AE10" i="6"/>
  <c r="AI10" i="6" s="1"/>
  <c r="AE11" i="6"/>
  <c r="AI11" i="6" s="1"/>
  <c r="AE12" i="6"/>
  <c r="AI12" i="6" s="1"/>
  <c r="AE13" i="6"/>
  <c r="AI13" i="6" s="1"/>
  <c r="AE14" i="6"/>
  <c r="AI14" i="6" s="1"/>
  <c r="AE15" i="6"/>
  <c r="AI15" i="6" s="1"/>
  <c r="AE16" i="6"/>
  <c r="AI16" i="6" s="1"/>
  <c r="AE17" i="6"/>
  <c r="AI17" i="6" s="1"/>
  <c r="AE18" i="6"/>
  <c r="AI18" i="6" s="1"/>
  <c r="AE19" i="6"/>
  <c r="AI19" i="6" s="1"/>
  <c r="AE20" i="6"/>
  <c r="AI20" i="6" s="1"/>
  <c r="AE21" i="6"/>
  <c r="AI21" i="6" s="1"/>
  <c r="AE22" i="6"/>
  <c r="AI22" i="6" s="1"/>
  <c r="AE23" i="6"/>
  <c r="AI23" i="6" s="1"/>
  <c r="AE24" i="6"/>
  <c r="AI24" i="6" s="1"/>
  <c r="AE25" i="6"/>
  <c r="AI25" i="6" s="1"/>
  <c r="AE26" i="6"/>
  <c r="AI26" i="6" s="1"/>
  <c r="AE3" i="6"/>
  <c r="AI3" i="6" s="1"/>
  <c r="AD3" i="6"/>
  <c r="AH3" i="6" s="1"/>
  <c r="AD4" i="6"/>
  <c r="AH4" i="6" s="1"/>
  <c r="AD5" i="6"/>
  <c r="AH5" i="6" s="1"/>
  <c r="AD6" i="6"/>
  <c r="AH6" i="6" s="1"/>
  <c r="AD7" i="6"/>
  <c r="AH7" i="6" s="1"/>
  <c r="AD8" i="6"/>
  <c r="AH8" i="6" s="1"/>
  <c r="AD9" i="6"/>
  <c r="AH9" i="6" s="1"/>
  <c r="AD10" i="6"/>
  <c r="AH10" i="6" s="1"/>
  <c r="AD11" i="6"/>
  <c r="AH11" i="6" s="1"/>
  <c r="AD12" i="6"/>
  <c r="AH12" i="6" s="1"/>
  <c r="AD13" i="6"/>
  <c r="AH13" i="6" s="1"/>
  <c r="AD14" i="6"/>
  <c r="AH14" i="6" s="1"/>
  <c r="AD15" i="6"/>
  <c r="AH15" i="6" s="1"/>
  <c r="AD16" i="6"/>
  <c r="AH16" i="6" s="1"/>
  <c r="AD17" i="6"/>
  <c r="AH17" i="6" s="1"/>
  <c r="AD18" i="6"/>
  <c r="AH18" i="6" s="1"/>
  <c r="AD19" i="6"/>
  <c r="AH19" i="6" s="1"/>
  <c r="AD20" i="6"/>
  <c r="AH20" i="6" s="1"/>
  <c r="AD21" i="6"/>
  <c r="AH21" i="6" s="1"/>
  <c r="AD22" i="6"/>
  <c r="AH22" i="6" s="1"/>
  <c r="AD23" i="6"/>
  <c r="AH23" i="6" s="1"/>
  <c r="AD24" i="6"/>
  <c r="AH24" i="6" s="1"/>
  <c r="AD25" i="6"/>
  <c r="AH25" i="6" s="1"/>
  <c r="AD26" i="6"/>
  <c r="AH26" i="6" s="1"/>
  <c r="Z97" i="6"/>
  <c r="AA97" i="6"/>
  <c r="AB97" i="6"/>
  <c r="AC97" i="6"/>
  <c r="AD97" i="6"/>
  <c r="AE97" i="6"/>
  <c r="AF97" i="6"/>
  <c r="AO97" i="6"/>
  <c r="AP97" i="6"/>
  <c r="AQ97" i="6"/>
  <c r="Z98" i="6"/>
  <c r="AA98" i="6"/>
  <c r="AB98" i="6"/>
  <c r="AC98" i="6"/>
  <c r="AD98" i="6"/>
  <c r="AE98" i="6"/>
  <c r="AF98" i="6"/>
  <c r="AO98" i="6"/>
  <c r="AP98" i="6"/>
  <c r="AQ98" i="6"/>
  <c r="Z99" i="6"/>
  <c r="AA99" i="6"/>
  <c r="AB99" i="6"/>
  <c r="AC99" i="6"/>
  <c r="AD99" i="6"/>
  <c r="AE99" i="6"/>
  <c r="AF99" i="6"/>
  <c r="AO99" i="6"/>
  <c r="AP99" i="6"/>
  <c r="AQ99" i="6"/>
  <c r="Z100" i="6"/>
  <c r="AA100" i="6"/>
  <c r="AB100" i="6"/>
  <c r="AC100" i="6"/>
  <c r="AD100" i="6"/>
  <c r="AE100" i="6"/>
  <c r="AF100" i="6"/>
  <c r="AO100" i="6"/>
  <c r="AP100" i="6"/>
  <c r="AQ100" i="6"/>
  <c r="Z101" i="6"/>
  <c r="AA101" i="6"/>
  <c r="AB101" i="6"/>
  <c r="AC101" i="6"/>
  <c r="AD101" i="6"/>
  <c r="AE101" i="6"/>
  <c r="AF101" i="6"/>
  <c r="AO101" i="6"/>
  <c r="AP101" i="6"/>
  <c r="AQ101" i="6"/>
  <c r="Z102" i="6"/>
  <c r="AA102" i="6"/>
  <c r="AB102" i="6"/>
  <c r="AC102" i="6"/>
  <c r="AD102" i="6"/>
  <c r="AE102" i="6"/>
  <c r="AF102" i="6"/>
  <c r="AO102" i="6"/>
  <c r="AP102" i="6"/>
  <c r="AQ102" i="6"/>
  <c r="Z103" i="6"/>
  <c r="AA103" i="6"/>
  <c r="AB103" i="6"/>
  <c r="AC103" i="6"/>
  <c r="AD103" i="6"/>
  <c r="AE103" i="6"/>
  <c r="AF103" i="6"/>
  <c r="AO103" i="6"/>
  <c r="AP103" i="6"/>
  <c r="AQ103" i="6"/>
  <c r="Z104" i="6"/>
  <c r="AA104" i="6"/>
  <c r="AB104" i="6"/>
  <c r="AC104" i="6"/>
  <c r="AD104" i="6"/>
  <c r="AE104" i="6"/>
  <c r="AF104" i="6"/>
  <c r="AO104" i="6"/>
  <c r="AP104" i="6"/>
  <c r="AQ104" i="6"/>
  <c r="Z105" i="6"/>
  <c r="AA105" i="6"/>
  <c r="AB105" i="6"/>
  <c r="AC105" i="6"/>
  <c r="AD105" i="6"/>
  <c r="AE105" i="6"/>
  <c r="AF105" i="6"/>
  <c r="AO105" i="6"/>
  <c r="AP105" i="6"/>
  <c r="Z106" i="6"/>
  <c r="AA106" i="6"/>
  <c r="AB106" i="6"/>
  <c r="AC106" i="6"/>
  <c r="AD106" i="6"/>
  <c r="AE106" i="6"/>
  <c r="AF106" i="6"/>
  <c r="AO106" i="6"/>
  <c r="AP106" i="6"/>
  <c r="AQ106" i="6"/>
  <c r="Z107" i="6"/>
  <c r="AA107" i="6"/>
  <c r="AB107" i="6"/>
  <c r="AC107" i="6"/>
  <c r="AD107" i="6"/>
  <c r="AE107" i="6"/>
  <c r="AF107" i="6"/>
  <c r="AO107" i="6"/>
  <c r="AP107" i="6"/>
  <c r="AQ107" i="6"/>
  <c r="Z108" i="6"/>
  <c r="AA108" i="6"/>
  <c r="AB108" i="6"/>
  <c r="AC108" i="6"/>
  <c r="AD108" i="6"/>
  <c r="AE108" i="6"/>
  <c r="AF108" i="6"/>
  <c r="AO108" i="6"/>
  <c r="AP108" i="6"/>
  <c r="AQ108" i="6"/>
  <c r="Z109" i="6"/>
  <c r="AA109" i="6"/>
  <c r="AB109" i="6"/>
  <c r="AC109" i="6"/>
  <c r="AD109" i="6"/>
  <c r="AE109" i="6"/>
  <c r="AF109" i="6"/>
  <c r="AO109" i="6"/>
  <c r="AP109" i="6"/>
  <c r="AQ109" i="6"/>
  <c r="Z110" i="6"/>
  <c r="AA110" i="6"/>
  <c r="AB110" i="6"/>
  <c r="AC110" i="6"/>
  <c r="AD110" i="6"/>
  <c r="AE110" i="6"/>
  <c r="AF110" i="6"/>
  <c r="AO110" i="6"/>
  <c r="AP110" i="6"/>
  <c r="AQ110" i="6"/>
  <c r="Z111" i="6"/>
  <c r="AA111" i="6"/>
  <c r="AB111" i="6"/>
  <c r="AC111" i="6"/>
  <c r="AD111" i="6"/>
  <c r="AE111" i="6"/>
  <c r="AF111" i="6"/>
  <c r="AO111" i="6"/>
  <c r="AP111" i="6"/>
  <c r="AQ111" i="6"/>
  <c r="Z112" i="6"/>
  <c r="AA112" i="6"/>
  <c r="AB112" i="6"/>
  <c r="AC112" i="6"/>
  <c r="AD112" i="6"/>
  <c r="AE112" i="6"/>
  <c r="AF112" i="6"/>
  <c r="AO112" i="6"/>
  <c r="AP112" i="6"/>
  <c r="AQ112" i="6"/>
  <c r="Z113" i="6"/>
  <c r="AA113" i="6"/>
  <c r="AB113" i="6"/>
  <c r="AC113" i="6"/>
  <c r="AD113" i="6"/>
  <c r="AE113" i="6"/>
  <c r="AF113" i="6"/>
  <c r="AO113" i="6"/>
  <c r="AP113" i="6"/>
  <c r="AQ113" i="6"/>
  <c r="Z114" i="6"/>
  <c r="AA114" i="6"/>
  <c r="AB114" i="6"/>
  <c r="AC114" i="6"/>
  <c r="AD114" i="6"/>
  <c r="AE114" i="6"/>
  <c r="AF114" i="6"/>
  <c r="AO114" i="6"/>
  <c r="AP114" i="6"/>
  <c r="AQ114" i="6"/>
  <c r="Z115" i="6"/>
  <c r="AA115" i="6"/>
  <c r="AB115" i="6"/>
  <c r="AC115" i="6"/>
  <c r="AD115" i="6"/>
  <c r="AE115" i="6"/>
  <c r="AF115" i="6"/>
  <c r="AO115" i="6"/>
  <c r="AP115" i="6"/>
  <c r="AQ115" i="6"/>
  <c r="Z116" i="6"/>
  <c r="AA116" i="6"/>
  <c r="AB116" i="6"/>
  <c r="AC116" i="6"/>
  <c r="AD116" i="6"/>
  <c r="AE116" i="6"/>
  <c r="AF116" i="6"/>
  <c r="AO116" i="6"/>
  <c r="AP116" i="6"/>
  <c r="AQ116" i="6"/>
  <c r="Z117" i="6"/>
  <c r="AA117" i="6"/>
  <c r="AB117" i="6"/>
  <c r="AC117" i="6"/>
  <c r="AD117" i="6"/>
  <c r="AE117" i="6"/>
  <c r="AF117" i="6"/>
  <c r="AO117" i="6"/>
  <c r="AP117" i="6"/>
  <c r="AQ117" i="6"/>
  <c r="Z118" i="6"/>
  <c r="AA118" i="6"/>
  <c r="AB118" i="6"/>
  <c r="AC118" i="6"/>
  <c r="AD118" i="6"/>
  <c r="AE118" i="6"/>
  <c r="AF118" i="6"/>
  <c r="AO118" i="6"/>
  <c r="AP118" i="6"/>
  <c r="AQ118" i="6"/>
  <c r="Z119" i="6"/>
  <c r="AA119" i="6"/>
  <c r="AB119" i="6"/>
  <c r="AC119" i="6"/>
  <c r="AD119" i="6"/>
  <c r="AE119" i="6"/>
  <c r="AF119" i="6"/>
  <c r="AO119" i="6"/>
  <c r="AP119" i="6"/>
  <c r="AQ119" i="6"/>
  <c r="Z120" i="6"/>
  <c r="AA120" i="6"/>
  <c r="AB120" i="6"/>
  <c r="AC120" i="6"/>
  <c r="AD120" i="6"/>
  <c r="AE120" i="6"/>
  <c r="AF120" i="6"/>
  <c r="AO120" i="6"/>
  <c r="AP120" i="6"/>
  <c r="AQ120" i="6"/>
  <c r="AB4" i="6"/>
  <c r="AB5" i="6"/>
  <c r="AB6" i="6"/>
  <c r="AB7" i="6"/>
  <c r="AB8" i="6"/>
  <c r="AB9" i="6"/>
  <c r="AB10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3" i="6"/>
  <c r="AA3" i="6"/>
  <c r="AA4" i="6"/>
  <c r="AA5" i="6"/>
  <c r="AA6" i="6"/>
  <c r="AA7" i="6"/>
  <c r="AA8" i="6"/>
  <c r="AA9" i="6"/>
  <c r="AA10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3" i="6"/>
  <c r="M4" i="6"/>
  <c r="M5" i="6"/>
  <c r="M6" i="6"/>
  <c r="M7" i="6"/>
  <c r="M8" i="6"/>
  <c r="M9" i="6"/>
  <c r="M10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3" i="6"/>
  <c r="K11" i="6"/>
  <c r="AA11" i="6" s="1"/>
  <c r="S21" i="6" l="1"/>
  <c r="U21" i="6"/>
  <c r="S13" i="6"/>
  <c r="U13" i="6"/>
  <c r="T19" i="6"/>
  <c r="T11" i="6"/>
  <c r="R27" i="6"/>
  <c r="T27" i="6" s="1"/>
  <c r="R19" i="6"/>
  <c r="R11" i="6"/>
  <c r="T10" i="6"/>
  <c r="R26" i="6"/>
  <c r="R18" i="6"/>
  <c r="T18" i="6" s="1"/>
  <c r="R10" i="6"/>
  <c r="T13" i="6"/>
  <c r="U4" i="6"/>
  <c r="S4" i="6"/>
  <c r="T17" i="6"/>
  <c r="T9" i="6"/>
  <c r="R25" i="6"/>
  <c r="T25" i="6" s="1"/>
  <c r="R17" i="6"/>
  <c r="R9" i="6"/>
  <c r="T21" i="6"/>
  <c r="V21" i="6" s="1"/>
  <c r="T4" i="6"/>
  <c r="R20" i="6"/>
  <c r="T24" i="6"/>
  <c r="T16" i="6"/>
  <c r="T8" i="6"/>
  <c r="R24" i="6"/>
  <c r="R16" i="6"/>
  <c r="R8" i="6"/>
  <c r="T15" i="6"/>
  <c r="T7" i="6"/>
  <c r="R23" i="6"/>
  <c r="T23" i="6" s="1"/>
  <c r="R15" i="6"/>
  <c r="R7" i="6"/>
  <c r="R5" i="6"/>
  <c r="R12" i="6"/>
  <c r="T22" i="6"/>
  <c r="T14" i="6"/>
  <c r="T6" i="6"/>
  <c r="R22" i="6"/>
  <c r="R14" i="6"/>
  <c r="R6" i="6"/>
  <c r="AM22" i="6"/>
  <c r="AM15" i="6"/>
  <c r="AM25" i="6"/>
  <c r="AM17" i="6"/>
  <c r="AM10" i="6"/>
  <c r="AN26" i="6"/>
  <c r="AM20" i="6"/>
  <c r="AM4" i="6"/>
  <c r="AN4" i="6"/>
  <c r="AK20" i="6"/>
  <c r="AN20" i="6" s="1"/>
  <c r="AK4" i="6"/>
  <c r="AK12" i="6"/>
  <c r="AM12" i="6" s="1"/>
  <c r="AK24" i="6"/>
  <c r="AM24" i="6" s="1"/>
  <c r="AK16" i="6"/>
  <c r="AM16" i="6" s="1"/>
  <c r="AK8" i="6"/>
  <c r="AN8" i="6" s="1"/>
  <c r="AL5" i="6"/>
  <c r="AL22" i="6"/>
  <c r="AK23" i="6"/>
  <c r="AL23" i="6" s="1"/>
  <c r="AK15" i="6"/>
  <c r="AL15" i="6" s="1"/>
  <c r="AK7" i="6"/>
  <c r="AL7" i="6" s="1"/>
  <c r="AL20" i="6"/>
  <c r="AL4" i="6"/>
  <c r="AK10" i="6"/>
  <c r="AN10" i="6" s="1"/>
  <c r="AK26" i="6"/>
  <c r="AL26" i="6" s="1"/>
  <c r="AK18" i="6"/>
  <c r="AM18" i="6" s="1"/>
  <c r="AL16" i="6"/>
  <c r="AL8" i="6"/>
  <c r="AL18" i="6"/>
  <c r="AL10" i="6"/>
  <c r="AK13" i="6"/>
  <c r="AN13" i="6" s="1"/>
  <c r="AK25" i="6"/>
  <c r="AN25" i="6" s="1"/>
  <c r="AK17" i="6"/>
  <c r="AL17" i="6" s="1"/>
  <c r="AK9" i="6"/>
  <c r="AL9" i="6" s="1"/>
  <c r="AK3" i="6"/>
  <c r="AN3" i="6" s="1"/>
  <c r="AK19" i="6"/>
  <c r="AM19" i="6" s="1"/>
  <c r="AK11" i="6"/>
  <c r="AL11" i="6" s="1"/>
  <c r="AK21" i="6"/>
  <c r="AL21" i="6" s="1"/>
  <c r="AK5" i="6"/>
  <c r="AM5" i="6" s="1"/>
  <c r="AK22" i="6"/>
  <c r="AN22" i="6" s="1"/>
  <c r="AK14" i="6"/>
  <c r="AK6" i="6"/>
  <c r="AN6" i="6" s="1"/>
  <c r="K28" i="6"/>
  <c r="AT11" i="6"/>
  <c r="AS11" i="6"/>
  <c r="AP11" i="6"/>
  <c r="AQ11" i="6"/>
  <c r="AQ105" i="6"/>
  <c r="M11" i="6"/>
  <c r="AB11" i="6"/>
  <c r="AL13" i="6" l="1"/>
  <c r="AM26" i="6"/>
  <c r="AM23" i="6"/>
  <c r="U26" i="6"/>
  <c r="S26" i="6"/>
  <c r="AN19" i="6"/>
  <c r="AN5" i="6"/>
  <c r="S12" i="6"/>
  <c r="U12" i="6"/>
  <c r="S20" i="6"/>
  <c r="U20" i="6"/>
  <c r="S25" i="6"/>
  <c r="V25" i="6" s="1"/>
  <c r="U25" i="6"/>
  <c r="AL19" i="6"/>
  <c r="AM11" i="6"/>
  <c r="AN16" i="6"/>
  <c r="S5" i="6"/>
  <c r="U5" i="6"/>
  <c r="T12" i="6"/>
  <c r="V4" i="6"/>
  <c r="T26" i="6"/>
  <c r="U18" i="6"/>
  <c r="S18" i="6"/>
  <c r="AN24" i="6"/>
  <c r="S6" i="6"/>
  <c r="U6" i="6"/>
  <c r="T5" i="6"/>
  <c r="U8" i="6"/>
  <c r="S8" i="6"/>
  <c r="V8" i="6" s="1"/>
  <c r="T20" i="6"/>
  <c r="U23" i="6"/>
  <c r="S23" i="6"/>
  <c r="U27" i="6"/>
  <c r="S27" i="6"/>
  <c r="V27" i="6" s="1"/>
  <c r="AL25" i="6"/>
  <c r="AN18" i="6"/>
  <c r="AM8" i="6"/>
  <c r="S14" i="6"/>
  <c r="U14" i="6"/>
  <c r="V14" i="6" s="1"/>
  <c r="S7" i="6"/>
  <c r="V7" i="6" s="1"/>
  <c r="U7" i="6"/>
  <c r="U16" i="6"/>
  <c r="S16" i="6"/>
  <c r="V16" i="6" s="1"/>
  <c r="S9" i="6"/>
  <c r="U9" i="6"/>
  <c r="V13" i="6"/>
  <c r="U11" i="6"/>
  <c r="S11" i="6"/>
  <c r="AN15" i="6"/>
  <c r="S22" i="6"/>
  <c r="U22" i="6"/>
  <c r="U15" i="6"/>
  <c r="S15" i="6"/>
  <c r="V15" i="6" s="1"/>
  <c r="U24" i="6"/>
  <c r="S24" i="6"/>
  <c r="V24" i="6" s="1"/>
  <c r="S17" i="6"/>
  <c r="V17" i="6" s="1"/>
  <c r="U17" i="6"/>
  <c r="U10" i="6"/>
  <c r="S10" i="6"/>
  <c r="V10" i="6" s="1"/>
  <c r="U19" i="6"/>
  <c r="S19" i="6"/>
  <c r="V19" i="6" s="1"/>
  <c r="AM9" i="6"/>
  <c r="AM6" i="6"/>
  <c r="AM21" i="6"/>
  <c r="AL14" i="6"/>
  <c r="AN14" i="6"/>
  <c r="AL24" i="6"/>
  <c r="AN12" i="6"/>
  <c r="AN17" i="6"/>
  <c r="AM13" i="6"/>
  <c r="AN9" i="6"/>
  <c r="AM7" i="6"/>
  <c r="AN21" i="6"/>
  <c r="AL12" i="6"/>
  <c r="AL6" i="6"/>
  <c r="AN11" i="6"/>
  <c r="AN23" i="6"/>
  <c r="AN7" i="6"/>
  <c r="AM14" i="6"/>
  <c r="AM3" i="6"/>
  <c r="AL3" i="6"/>
  <c r="V18" i="6" l="1"/>
  <c r="V9" i="6"/>
  <c r="V26" i="6"/>
  <c r="V22" i="6"/>
  <c r="V20" i="6"/>
  <c r="V6" i="6"/>
  <c r="V5" i="6"/>
  <c r="V11" i="6"/>
  <c r="V23" i="6"/>
  <c r="V12" i="6"/>
</calcChain>
</file>

<file path=xl/sharedStrings.xml><?xml version="1.0" encoding="utf-8"?>
<sst xmlns="http://schemas.openxmlformats.org/spreadsheetml/2006/main" count="126" uniqueCount="66">
  <si>
    <t>MgO</t>
  </si>
  <si>
    <t>Al2O3</t>
  </si>
  <si>
    <t>SiO2</t>
  </si>
  <si>
    <t>P2O5</t>
  </si>
  <si>
    <t>K2O</t>
  </si>
  <si>
    <t>CaO</t>
  </si>
  <si>
    <t>TiO2</t>
  </si>
  <si>
    <t>MnO</t>
  </si>
  <si>
    <t>Fe2O3</t>
  </si>
  <si>
    <t>C1S1</t>
  </si>
  <si>
    <t>C1S2</t>
  </si>
  <si>
    <t>C1S4</t>
  </si>
  <si>
    <t>C1S4D</t>
  </si>
  <si>
    <t>C1S5B</t>
  </si>
  <si>
    <t>C1S09</t>
  </si>
  <si>
    <t>C1S11</t>
  </si>
  <si>
    <t>C1S24</t>
  </si>
  <si>
    <t>C1S27</t>
  </si>
  <si>
    <t>C1S27B</t>
  </si>
  <si>
    <t>C1S31</t>
  </si>
  <si>
    <t>C2S2</t>
  </si>
  <si>
    <t>C2S3</t>
  </si>
  <si>
    <t>C2S5</t>
  </si>
  <si>
    <t>C2S8</t>
  </si>
  <si>
    <t>C2S15</t>
  </si>
  <si>
    <t>C2S17</t>
  </si>
  <si>
    <t>C2S24</t>
  </si>
  <si>
    <t>C2S27</t>
  </si>
  <si>
    <t>C2S27G</t>
  </si>
  <si>
    <t>C2S231</t>
  </si>
  <si>
    <t>C2S231G</t>
  </si>
  <si>
    <t>CGC1</t>
  </si>
  <si>
    <t>CGC2</t>
  </si>
  <si>
    <t>Na2O</t>
  </si>
  <si>
    <t>Major Oxide</t>
  </si>
  <si>
    <t>Sample ID</t>
  </si>
  <si>
    <t>ICV</t>
  </si>
  <si>
    <t>CIA</t>
  </si>
  <si>
    <t xml:space="preserve">SIO4 </t>
  </si>
  <si>
    <t>UCC</t>
  </si>
  <si>
    <t>DF 1 (4.)</t>
  </si>
  <si>
    <t>DF 2 (4.)</t>
  </si>
  <si>
    <t>DF1(2.)</t>
  </si>
  <si>
    <t>DF2(2.)</t>
  </si>
  <si>
    <t>PAAS</t>
  </si>
  <si>
    <t>M</t>
  </si>
  <si>
    <t>F</t>
  </si>
  <si>
    <t>W</t>
  </si>
  <si>
    <t>DF 1(3.H.S)</t>
  </si>
  <si>
    <t>DF1(3.L.S)</t>
  </si>
  <si>
    <t>DF2(3.H.S)</t>
  </si>
  <si>
    <t>DF2(3.L.S)</t>
  </si>
  <si>
    <t>maan</t>
  </si>
  <si>
    <t>EXP M</t>
  </si>
  <si>
    <t>EXP F</t>
  </si>
  <si>
    <t>EXP W</t>
  </si>
  <si>
    <t>TOTAl</t>
  </si>
  <si>
    <t>A</t>
  </si>
  <si>
    <t>mean</t>
  </si>
  <si>
    <t>CN</t>
  </si>
  <si>
    <t>CaO + Na2O3</t>
  </si>
  <si>
    <t>K</t>
  </si>
  <si>
    <t>TOTAL</t>
  </si>
  <si>
    <t>K/total</t>
  </si>
  <si>
    <t>CN/total</t>
  </si>
  <si>
    <t>A/total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</si>
</sst>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6" applyNumberFormat="0" applyAlignment="0" applyProtection="0"/>
    <xf numFmtId="0" fontId="5" fillId="28" borderId="7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1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6" applyNumberFormat="0" applyAlignment="0" applyProtection="0"/>
    <xf numFmtId="0" fontId="12" fillId="0" borderId="11" applyNumberFormat="0" applyFill="0" applyAlignment="0" applyProtection="0"/>
    <xf numFmtId="0" fontId="13" fillId="31" borderId="0" applyNumberFormat="0" applyBorder="0" applyAlignment="0" applyProtection="0"/>
    <xf numFmtId="0" fontId="1" fillId="32" borderId="12" applyNumberFormat="0" applyFont="0" applyAlignment="0" applyProtection="0"/>
    <xf numFmtId="0" fontId="14" fillId="27" borderId="13" applyNumberFormat="0" applyAlignment="0" applyProtection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4" applyNumberFormat="0" applyFill="0" applyAlignment="0" applyProtection="0"/>
    <xf numFmtId="0" fontId="17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Font="1" applyFill="1"/>
    <xf numFmtId="0" fontId="0" fillId="0" borderId="1" xfId="0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2" fontId="1" fillId="0" borderId="0" xfId="39" applyNumberFormat="1" applyFont="1"/>
    <xf numFmtId="0" fontId="0" fillId="0" borderId="3" xfId="0" applyFill="1" applyBorder="1" applyAlignment="1">
      <alignment horizontal="center" vertical="center"/>
    </xf>
    <xf numFmtId="0" fontId="0" fillId="0" borderId="0" xfId="0" applyFill="1"/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0" fontId="0" fillId="0" borderId="0" xfId="39" applyNumberFormat="1" applyFont="1" applyFill="1" applyBorder="1" applyAlignment="1">
      <alignment horizontal="center" vertical="center"/>
    </xf>
    <xf numFmtId="2" fontId="0" fillId="0" borderId="0" xfId="0" applyNumberFormat="1"/>
    <xf numFmtId="0" fontId="0" fillId="0" borderId="0" xfId="0" applyFont="1" applyFill="1" applyBorder="1" applyAlignment="1">
      <alignment horizontal="center" vertical="center"/>
    </xf>
    <xf numFmtId="2" fontId="0" fillId="0" borderId="0" xfId="0" applyNumberFormat="1" applyFont="1" applyFill="1" applyBorder="1" applyAlignment="1">
      <alignment horizontal="center" vertical="center"/>
    </xf>
    <xf numFmtId="2" fontId="0" fillId="0" borderId="0" xfId="39" applyNumberFormat="1" applyFont="1" applyFill="1" applyBorder="1" applyAlignment="1">
      <alignment horizontal="center" vertical="center"/>
    </xf>
    <xf numFmtId="2" fontId="0" fillId="0" borderId="0" xfId="39" applyNumberFormat="1" applyFont="1"/>
    <xf numFmtId="0" fontId="0" fillId="0" borderId="1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'XRF Cox'!$L$3:$L$26</c:f>
              <c:numCache>
                <c:formatCode>0.00</c:formatCode>
                <c:ptCount val="24"/>
                <c:pt idx="0">
                  <c:v>78.277886497064571</c:v>
                </c:pt>
                <c:pt idx="1">
                  <c:v>84.115047678114578</c:v>
                </c:pt>
                <c:pt idx="2">
                  <c:v>75.424261470773104</c:v>
                </c:pt>
                <c:pt idx="3">
                  <c:v>87.90252393385552</c:v>
                </c:pt>
                <c:pt idx="4">
                  <c:v>96.986003511831896</c:v>
                </c:pt>
                <c:pt idx="5">
                  <c:v>83.982945001938077</c:v>
                </c:pt>
                <c:pt idx="6">
                  <c:v>79.800498753117211</c:v>
                </c:pt>
                <c:pt idx="7">
                  <c:v>87.556694931966092</c:v>
                </c:pt>
                <c:pt idx="8">
                  <c:v>94.327542788851432</c:v>
                </c:pt>
                <c:pt idx="9">
                  <c:v>81.989490849791636</c:v>
                </c:pt>
                <c:pt idx="10">
                  <c:v>93.320235756385074</c:v>
                </c:pt>
                <c:pt idx="11">
                  <c:v>92.345280245149794</c:v>
                </c:pt>
                <c:pt idx="12">
                  <c:v>75.996677740863788</c:v>
                </c:pt>
                <c:pt idx="13">
                  <c:v>79.175105873688082</c:v>
                </c:pt>
                <c:pt idx="14">
                  <c:v>75.04370443013687</c:v>
                </c:pt>
                <c:pt idx="15">
                  <c:v>90.461431965136953</c:v>
                </c:pt>
                <c:pt idx="16">
                  <c:v>79.229885512815429</c:v>
                </c:pt>
                <c:pt idx="17">
                  <c:v>78.491049617556371</c:v>
                </c:pt>
                <c:pt idx="18">
                  <c:v>77.955635360325843</c:v>
                </c:pt>
                <c:pt idx="19">
                  <c:v>96.92304981173433</c:v>
                </c:pt>
                <c:pt idx="20">
                  <c:v>75.250836120401331</c:v>
                </c:pt>
                <c:pt idx="21">
                  <c:v>86.422744527905664</c:v>
                </c:pt>
                <c:pt idx="22">
                  <c:v>93.423750342285302</c:v>
                </c:pt>
                <c:pt idx="23">
                  <c:v>96.23675946132964</c:v>
                </c:pt>
              </c:numCache>
            </c:numRef>
          </c:xVal>
          <c:yVal>
            <c:numRef>
              <c:f>'XRF Cox'!$M$3:$M$26</c:f>
              <c:numCache>
                <c:formatCode>General</c:formatCode>
                <c:ptCount val="24"/>
                <c:pt idx="0">
                  <c:v>0.65193749999999995</c:v>
                </c:pt>
                <c:pt idx="1">
                  <c:v>0.41664055299539182</c:v>
                </c:pt>
                <c:pt idx="2">
                  <c:v>0.70730128205128207</c:v>
                </c:pt>
                <c:pt idx="3">
                  <c:v>0.34075247524752478</c:v>
                </c:pt>
                <c:pt idx="4">
                  <c:v>9.1213709677419347E-2</c:v>
                </c:pt>
                <c:pt idx="5">
                  <c:v>0.44425641025641027</c:v>
                </c:pt>
                <c:pt idx="6">
                  <c:v>0.51838020833333343</c:v>
                </c:pt>
                <c:pt idx="7">
                  <c:v>0.34584684684684686</c:v>
                </c:pt>
                <c:pt idx="8">
                  <c:v>0.28867816742081442</c:v>
                </c:pt>
                <c:pt idx="9">
                  <c:v>0.49697237569060781</c:v>
                </c:pt>
                <c:pt idx="10">
                  <c:v>0.26143859649122808</c:v>
                </c:pt>
                <c:pt idx="11">
                  <c:v>0.21826008968609867</c:v>
                </c:pt>
                <c:pt idx="12">
                  <c:v>0.72120218579234974</c:v>
                </c:pt>
                <c:pt idx="13">
                  <c:v>0.44251162790697673</c:v>
                </c:pt>
                <c:pt idx="14">
                  <c:v>0.6663863636363635</c:v>
                </c:pt>
                <c:pt idx="15">
                  <c:v>0.23810869565217394</c:v>
                </c:pt>
                <c:pt idx="16">
                  <c:v>0.50182000000000004</c:v>
                </c:pt>
                <c:pt idx="17">
                  <c:v>0.66707142857142865</c:v>
                </c:pt>
                <c:pt idx="18">
                  <c:v>0.62410112359550562</c:v>
                </c:pt>
                <c:pt idx="19">
                  <c:v>7.7837229437229427E-2</c:v>
                </c:pt>
                <c:pt idx="20">
                  <c:v>0.6823080808080807</c:v>
                </c:pt>
                <c:pt idx="21">
                  <c:v>0.37680841121495334</c:v>
                </c:pt>
                <c:pt idx="22">
                  <c:v>0.17203201970443349</c:v>
                </c:pt>
                <c:pt idx="23">
                  <c:v>0.10146681415929203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787272"/>
        <c:axId val="380787664"/>
      </c:scatterChart>
      <c:valAx>
        <c:axId val="380787272"/>
        <c:scaling>
          <c:orientation val="minMax"/>
          <c:max val="100"/>
          <c:min val="0"/>
        </c:scaling>
        <c:delete val="0"/>
        <c:axPos val="b"/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0787664"/>
        <c:crosses val="autoZero"/>
        <c:crossBetween val="midCat"/>
        <c:majorUnit val="10"/>
        <c:minorUnit val="10"/>
      </c:valAx>
      <c:valAx>
        <c:axId val="380787664"/>
        <c:scaling>
          <c:orientation val="minMax"/>
          <c:max val="8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0787272"/>
        <c:crossesAt val="0"/>
        <c:crossBetween val="midCat"/>
        <c:majorUnit val="1"/>
        <c:minorUnit val="1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strRef>
              <c:f>'XRF Cox'!$X$2:$X$25</c:f>
              <c:strCache>
                <c:ptCount val="24"/>
                <c:pt idx="0">
                  <c:v>DF 1 (4.)</c:v>
                </c:pt>
                <c:pt idx="1">
                  <c:v>-0.296979</c:v>
                </c:pt>
                <c:pt idx="2">
                  <c:v>2.796259</c:v>
                </c:pt>
                <c:pt idx="3">
                  <c:v>-1.337624</c:v>
                </c:pt>
                <c:pt idx="4">
                  <c:v>1.249448</c:v>
                </c:pt>
                <c:pt idx="5">
                  <c:v>4.7031762</c:v>
                </c:pt>
                <c:pt idx="6">
                  <c:v>0.88105</c:v>
                </c:pt>
                <c:pt idx="7">
                  <c:v>0.71096</c:v>
                </c:pt>
                <c:pt idx="8">
                  <c:v>2.258139</c:v>
                </c:pt>
                <c:pt idx="9">
                  <c:v>5.9164162</c:v>
                </c:pt>
                <c:pt idx="10">
                  <c:v>0.330788</c:v>
                </c:pt>
                <c:pt idx="11">
                  <c:v>4.109618</c:v>
                </c:pt>
                <c:pt idx="12">
                  <c:v>2.985389</c:v>
                </c:pt>
                <c:pt idx="13">
                  <c:v>2.494905</c:v>
                </c:pt>
                <c:pt idx="14">
                  <c:v>-1.287295</c:v>
                </c:pt>
                <c:pt idx="15">
                  <c:v>0.279467</c:v>
                </c:pt>
                <c:pt idx="16">
                  <c:v>3.5701812</c:v>
                </c:pt>
                <c:pt idx="17">
                  <c:v>1.505059</c:v>
                </c:pt>
                <c:pt idx="18">
                  <c:v>1.986452</c:v>
                </c:pt>
                <c:pt idx="19">
                  <c:v>0.2363005</c:v>
                </c:pt>
                <c:pt idx="20">
                  <c:v>3.68154579</c:v>
                </c:pt>
                <c:pt idx="21">
                  <c:v>0.184085</c:v>
                </c:pt>
                <c:pt idx="22">
                  <c:v>1.474594</c:v>
                </c:pt>
                <c:pt idx="23">
                  <c:v>1.99736285</c:v>
                </c:pt>
              </c:strCache>
            </c:strRef>
          </c:cat>
          <c:val>
            <c:numRef>
              <c:f>'XRF Cox'!$Y$2:$Y$25</c:f>
              <c:numCache>
                <c:formatCode>General</c:formatCode>
                <c:ptCount val="24"/>
                <c:pt idx="0">
                  <c:v>0</c:v>
                </c:pt>
                <c:pt idx="1">
                  <c:v>-8.6634649999999986</c:v>
                </c:pt>
                <c:pt idx="2">
                  <c:v>-7.8142509999999987</c:v>
                </c:pt>
                <c:pt idx="3">
                  <c:v>-9.1397259999999996</c:v>
                </c:pt>
                <c:pt idx="4">
                  <c:v>-7.6293600000000001</c:v>
                </c:pt>
                <c:pt idx="5">
                  <c:v>-6.4089443999999993</c:v>
                </c:pt>
                <c:pt idx="6">
                  <c:v>-8.4116479999999996</c:v>
                </c:pt>
                <c:pt idx="7">
                  <c:v>-8.4666800000000002</c:v>
                </c:pt>
                <c:pt idx="8">
                  <c:v>-7.8839449999999998</c:v>
                </c:pt>
                <c:pt idx="9">
                  <c:v>-7.2197389999999988</c:v>
                </c:pt>
                <c:pt idx="10">
                  <c:v>-8.4653720000000003</c:v>
                </c:pt>
                <c:pt idx="11">
                  <c:v>-7.5676299999999994</c:v>
                </c:pt>
                <c:pt idx="12">
                  <c:v>-7.1143819999999991</c:v>
                </c:pt>
                <c:pt idx="13">
                  <c:v>-7.8869409999999993</c:v>
                </c:pt>
                <c:pt idx="14">
                  <c:v>-8.9875350000000012</c:v>
                </c:pt>
                <c:pt idx="15">
                  <c:v>-8.5820089999999993</c:v>
                </c:pt>
                <c:pt idx="16">
                  <c:v>-7.0406403999999991</c:v>
                </c:pt>
                <c:pt idx="17">
                  <c:v>-7.949465</c:v>
                </c:pt>
                <c:pt idx="18">
                  <c:v>-9.1559599999999985</c:v>
                </c:pt>
                <c:pt idx="19">
                  <c:v>-8.6801645000000001</c:v>
                </c:pt>
                <c:pt idx="20">
                  <c:v>-6.2105859299999997</c:v>
                </c:pt>
                <c:pt idx="21">
                  <c:v>-9.4253649999999993</c:v>
                </c:pt>
                <c:pt idx="22">
                  <c:v>-8.027633999999999</c:v>
                </c:pt>
                <c:pt idx="23">
                  <c:v>-6.8586110499999986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307402216"/>
        <c:axId val="307401824"/>
        <c:axId val="0"/>
      </c:bar3DChart>
      <c:catAx>
        <c:axId val="307402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307401824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307401824"/>
        <c:scaling>
          <c:orientation val="minMax"/>
          <c:max val="10"/>
          <c:min val="-10"/>
        </c:scaling>
        <c:delete val="0"/>
        <c:axPos val="l"/>
        <c:numFmt formatCode="General" sourceLinked="1"/>
        <c:majorTickMark val="none"/>
        <c:minorTickMark val="none"/>
        <c:tickLblPos val="nextTo"/>
        <c:crossAx val="307402216"/>
        <c:crossesAt val="10"/>
        <c:crossBetween val="between"/>
        <c:majorUnit val="2"/>
        <c:minorUnit val="2"/>
      </c:valAx>
      <c:spPr>
        <a:noFill/>
        <a:ln w="25400">
          <a:noFill/>
        </a:ln>
      </c:spPr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402608"/>
        <c:axId val="307399080"/>
      </c:lineChart>
      <c:catAx>
        <c:axId val="307402608"/>
        <c:scaling>
          <c:orientation val="minMax"/>
        </c:scaling>
        <c:delete val="0"/>
        <c:axPos val="b"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307399080"/>
        <c:crosses val="autoZero"/>
        <c:auto val="1"/>
        <c:lblAlgn val="ctr"/>
        <c:lblOffset val="100"/>
        <c:tickMarkSkip val="1"/>
        <c:noMultiLvlLbl val="0"/>
      </c:catAx>
      <c:valAx>
        <c:axId val="307399080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30740260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2"/>
          <c:order val="2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3"/>
          <c:order val="3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4"/>
          <c:order val="4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5"/>
          <c:order val="5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6"/>
          <c:order val="6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7"/>
          <c:order val="7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8"/>
          <c:order val="8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9"/>
          <c:order val="9"/>
          <c:marker>
            <c:symbol val="none"/>
          </c:marker>
          <c:val>
            <c:numRef>
              <c:f>'XRF Cox'!#REF!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'XRF Cox'!#REF!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7401040"/>
        <c:axId val="386163680"/>
      </c:lineChart>
      <c:catAx>
        <c:axId val="30740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6163680"/>
        <c:crosses val="autoZero"/>
        <c:auto val="1"/>
        <c:lblAlgn val="ctr"/>
        <c:lblOffset val="100"/>
        <c:noMultiLvlLbl val="0"/>
      </c:catAx>
      <c:valAx>
        <c:axId val="386163680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7401040"/>
        <c:crosses val="autoZero"/>
        <c:crossBetween val="between"/>
      </c:valAx>
    </c:plotArea>
    <c:legend>
      <c:legendPos val="t"/>
      <c:layout/>
      <c:overlay val="0"/>
    </c:legend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'XRF Cox'!$Z$70</c:f>
              <c:strCache>
                <c:ptCount val="1"/>
                <c:pt idx="0">
                  <c:v>SIO4 </c:v>
                </c:pt>
              </c:strCache>
            </c:strRef>
          </c:tx>
          <c:marker>
            <c:symbol val="none"/>
          </c:marker>
          <c:val>
            <c:numRef>
              <c:f>'XRF Cox'!$Z$71:$Z$94</c:f>
              <c:numCache>
                <c:formatCode>General</c:formatCode>
                <c:ptCount val="24"/>
                <c:pt idx="0">
                  <c:v>1.0716560509554141</c:v>
                </c:pt>
                <c:pt idx="1">
                  <c:v>1.1178343949044587</c:v>
                </c:pt>
                <c:pt idx="2">
                  <c:v>1.1449044585987262</c:v>
                </c:pt>
                <c:pt idx="3">
                  <c:v>1.1624203821656052</c:v>
                </c:pt>
                <c:pt idx="4">
                  <c:v>1.1640127388535031</c:v>
                </c:pt>
                <c:pt idx="5">
                  <c:v>1.1496815286624205</c:v>
                </c:pt>
                <c:pt idx="6">
                  <c:v>1.1337579617834397</c:v>
                </c:pt>
                <c:pt idx="7">
                  <c:v>1.1242038216560508</c:v>
                </c:pt>
                <c:pt idx="8">
                  <c:v>1.1687898089171975</c:v>
                </c:pt>
                <c:pt idx="9">
                  <c:v>1.1560509554140126</c:v>
                </c:pt>
                <c:pt idx="10">
                  <c:v>1.1385350318471339</c:v>
                </c:pt>
                <c:pt idx="11">
                  <c:v>1.1640127388535031</c:v>
                </c:pt>
                <c:pt idx="12">
                  <c:v>1.0429936305732486</c:v>
                </c:pt>
                <c:pt idx="13">
                  <c:v>1.1019108280254779</c:v>
                </c:pt>
                <c:pt idx="14">
                  <c:v>1.1305732484076434</c:v>
                </c:pt>
                <c:pt idx="15">
                  <c:v>1.1449044585987262</c:v>
                </c:pt>
                <c:pt idx="16">
                  <c:v>1.1242038216560508</c:v>
                </c:pt>
                <c:pt idx="17">
                  <c:v>1.0780254777070064</c:v>
                </c:pt>
                <c:pt idx="18">
                  <c:v>1.1194267515923566</c:v>
                </c:pt>
                <c:pt idx="19">
                  <c:v>1.1958598726114649</c:v>
                </c:pt>
                <c:pt idx="20">
                  <c:v>1.0732484076433122</c:v>
                </c:pt>
                <c:pt idx="21">
                  <c:v>1.1321656050955413</c:v>
                </c:pt>
                <c:pt idx="22">
                  <c:v>1.1974522292993632</c:v>
                </c:pt>
                <c:pt idx="23">
                  <c:v>1.1910828025477707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'XRF Cox'!$AA$70</c:f>
              <c:strCache>
                <c:ptCount val="1"/>
                <c:pt idx="0">
                  <c:v>Al2O3</c:v>
                </c:pt>
              </c:strCache>
            </c:strRef>
          </c:tx>
          <c:marker>
            <c:symbol val="none"/>
          </c:marker>
          <c:val>
            <c:numRef>
              <c:f>'XRF Cox'!$AA$71:$AA$94</c:f>
              <c:numCache>
                <c:formatCode>General</c:formatCode>
                <c:ptCount val="24"/>
                <c:pt idx="0">
                  <c:v>0.84656084656084662</c:v>
                </c:pt>
                <c:pt idx="1">
                  <c:v>1.1481481481481481</c:v>
                </c:pt>
                <c:pt idx="2">
                  <c:v>0.82539682539682546</c:v>
                </c:pt>
                <c:pt idx="3">
                  <c:v>1.0687830687830688</c:v>
                </c:pt>
                <c:pt idx="4">
                  <c:v>1.3121693121693123</c:v>
                </c:pt>
                <c:pt idx="5">
                  <c:v>1.0317460317460319</c:v>
                </c:pt>
                <c:pt idx="6">
                  <c:v>1.0158730158730158</c:v>
                </c:pt>
                <c:pt idx="7">
                  <c:v>1.1746031746031746</c:v>
                </c:pt>
                <c:pt idx="8">
                  <c:v>1.1693121693121695</c:v>
                </c:pt>
                <c:pt idx="9">
                  <c:v>0.95767195767195779</c:v>
                </c:pt>
                <c:pt idx="10">
                  <c:v>1.2063492063492065</c:v>
                </c:pt>
                <c:pt idx="11">
                  <c:v>1.17989417989418</c:v>
                </c:pt>
                <c:pt idx="12">
                  <c:v>0.96825396825396837</c:v>
                </c:pt>
                <c:pt idx="13">
                  <c:v>1.1375661375661377</c:v>
                </c:pt>
                <c:pt idx="14">
                  <c:v>0.93121693121693139</c:v>
                </c:pt>
                <c:pt idx="15">
                  <c:v>1.216931216931217</c:v>
                </c:pt>
                <c:pt idx="16">
                  <c:v>1.0582010582010584</c:v>
                </c:pt>
                <c:pt idx="17">
                  <c:v>1.0370370370370372</c:v>
                </c:pt>
                <c:pt idx="18">
                  <c:v>0.94179894179894186</c:v>
                </c:pt>
                <c:pt idx="19">
                  <c:v>1.2222222222222223</c:v>
                </c:pt>
                <c:pt idx="20">
                  <c:v>1.0476190476190477</c:v>
                </c:pt>
                <c:pt idx="21">
                  <c:v>1.1322751322751323</c:v>
                </c:pt>
                <c:pt idx="22">
                  <c:v>1.0740740740740742</c:v>
                </c:pt>
                <c:pt idx="23">
                  <c:v>1.195767195767196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'XRF Cox'!$AB$70</c:f>
              <c:strCache>
                <c:ptCount val="1"/>
                <c:pt idx="0">
                  <c:v>CaO</c:v>
                </c:pt>
              </c:strCache>
            </c:strRef>
          </c:tx>
          <c:marker>
            <c:symbol val="none"/>
          </c:marker>
          <c:val>
            <c:numRef>
              <c:f>'XRF Cox'!$AB$71:$AB$94</c:f>
              <c:numCache>
                <c:formatCode>General</c:formatCode>
                <c:ptCount val="24"/>
                <c:pt idx="0">
                  <c:v>0.5461538461538461</c:v>
                </c:pt>
                <c:pt idx="1">
                  <c:v>0.36769230769230765</c:v>
                </c:pt>
                <c:pt idx="2">
                  <c:v>0.67923076923076919</c:v>
                </c:pt>
                <c:pt idx="3">
                  <c:v>0.23076923076923075</c:v>
                </c:pt>
                <c:pt idx="4">
                  <c:v>0.24361538461538459</c:v>
                </c:pt>
                <c:pt idx="5">
                  <c:v>0.39923076923076922</c:v>
                </c:pt>
                <c:pt idx="6">
                  <c:v>0.79230769230769227</c:v>
                </c:pt>
                <c:pt idx="7">
                  <c:v>0.38846153846153847</c:v>
                </c:pt>
                <c:pt idx="8">
                  <c:v>9.2307692307692299E-2</c:v>
                </c:pt>
                <c:pt idx="9">
                  <c:v>0.31999999999999995</c:v>
                </c:pt>
                <c:pt idx="10">
                  <c:v>0.12538461538461537</c:v>
                </c:pt>
                <c:pt idx="11">
                  <c:v>5.2692307692307698E-2</c:v>
                </c:pt>
                <c:pt idx="12">
                  <c:v>1.323076923076923</c:v>
                </c:pt>
                <c:pt idx="13">
                  <c:v>0.39615384615384613</c:v>
                </c:pt>
                <c:pt idx="14">
                  <c:v>0.72</c:v>
                </c:pt>
                <c:pt idx="15">
                  <c:v>0.19015384615384615</c:v>
                </c:pt>
                <c:pt idx="16">
                  <c:v>0.55538461538461537</c:v>
                </c:pt>
                <c:pt idx="17">
                  <c:v>0.90769230769230758</c:v>
                </c:pt>
                <c:pt idx="18">
                  <c:v>0.38153846153846155</c:v>
                </c:pt>
                <c:pt idx="19">
                  <c:v>7.799230769230768E-2</c:v>
                </c:pt>
                <c:pt idx="20">
                  <c:v>0.84615384615384615</c:v>
                </c:pt>
                <c:pt idx="21">
                  <c:v>0.40153846153846157</c:v>
                </c:pt>
                <c:pt idx="22">
                  <c:v>3.6846153846153841E-2</c:v>
                </c:pt>
                <c:pt idx="23">
                  <c:v>0.16323076923076923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'XRF Cox'!$AC$70</c:f>
              <c:strCache>
                <c:ptCount val="1"/>
                <c:pt idx="0">
                  <c:v>Fe2O3</c:v>
                </c:pt>
              </c:strCache>
            </c:strRef>
          </c:tx>
          <c:marker>
            <c:symbol val="none"/>
          </c:marker>
          <c:val>
            <c:numRef>
              <c:f>'XRF Cox'!$AC$71:$AC$94</c:f>
              <c:numCache>
                <c:formatCode>General</c:formatCode>
                <c:ptCount val="24"/>
                <c:pt idx="0">
                  <c:v>0.66</c:v>
                </c:pt>
                <c:pt idx="1">
                  <c:v>0.5938461538461538</c:v>
                </c:pt>
                <c:pt idx="2">
                  <c:v>0.68307692307692314</c:v>
                </c:pt>
                <c:pt idx="3">
                  <c:v>0.38461538461538464</c:v>
                </c:pt>
                <c:pt idx="4">
                  <c:v>9.0307692307692297E-2</c:v>
                </c:pt>
                <c:pt idx="5">
                  <c:v>0.53076923076923077</c:v>
                </c:pt>
                <c:pt idx="6">
                  <c:v>0.57076923076923081</c:v>
                </c:pt>
                <c:pt idx="7">
                  <c:v>0.42307692307692307</c:v>
                </c:pt>
                <c:pt idx="8">
                  <c:v>0.65492307692307683</c:v>
                </c:pt>
                <c:pt idx="9">
                  <c:v>0.60153846153846158</c:v>
                </c:pt>
                <c:pt idx="10">
                  <c:v>0.46153846153846156</c:v>
                </c:pt>
                <c:pt idx="11">
                  <c:v>0.29538461538461536</c:v>
                </c:pt>
                <c:pt idx="12">
                  <c:v>0.80615384615384622</c:v>
                </c:pt>
                <c:pt idx="13">
                  <c:v>0.32</c:v>
                </c:pt>
                <c:pt idx="14">
                  <c:v>0.74615384615384606</c:v>
                </c:pt>
                <c:pt idx="15">
                  <c:v>0.34307692307692306</c:v>
                </c:pt>
                <c:pt idx="16">
                  <c:v>0.61230769230769233</c:v>
                </c:pt>
                <c:pt idx="17">
                  <c:v>0.92461538461538462</c:v>
                </c:pt>
                <c:pt idx="18">
                  <c:v>0.76615384615384619</c:v>
                </c:pt>
                <c:pt idx="19">
                  <c:v>5.6615384615384616E-2</c:v>
                </c:pt>
                <c:pt idx="20">
                  <c:v>0.79230769230769238</c:v>
                </c:pt>
                <c:pt idx="21">
                  <c:v>0.42461538461538456</c:v>
                </c:pt>
                <c:pt idx="22">
                  <c:v>0.20461538461538462</c:v>
                </c:pt>
                <c:pt idx="23">
                  <c:v>7.3076923076923067E-2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'XRF Cox'!$AD$70</c:f>
              <c:strCache>
                <c:ptCount val="1"/>
                <c:pt idx="0">
                  <c:v>K2O</c:v>
                </c:pt>
              </c:strCache>
            </c:strRef>
          </c:tx>
          <c:marker>
            <c:symbol val="none"/>
          </c:marker>
          <c:val>
            <c:numRef>
              <c:f>'XRF Cox'!$AD$71:$AD$94</c:f>
              <c:numCache>
                <c:formatCode>General</c:formatCode>
                <c:ptCount val="24"/>
                <c:pt idx="0">
                  <c:v>0.59459459459459463</c:v>
                </c:pt>
                <c:pt idx="1">
                  <c:v>0.572972972972973</c:v>
                </c:pt>
                <c:pt idx="2">
                  <c:v>0.69729729729729728</c:v>
                </c:pt>
                <c:pt idx="3">
                  <c:v>0.34594594594594591</c:v>
                </c:pt>
                <c:pt idx="4">
                  <c:v>9.0270270270270264E-2</c:v>
                </c:pt>
                <c:pt idx="5">
                  <c:v>0.52702702702702697</c:v>
                </c:pt>
                <c:pt idx="6">
                  <c:v>0.64324324324324322</c:v>
                </c:pt>
                <c:pt idx="7">
                  <c:v>0.39189189189189189</c:v>
                </c:pt>
                <c:pt idx="8">
                  <c:v>0.17810810810810812</c:v>
                </c:pt>
                <c:pt idx="9">
                  <c:v>0.6</c:v>
                </c:pt>
                <c:pt idx="10">
                  <c:v>0.22135135135135134</c:v>
                </c:pt>
                <c:pt idx="11">
                  <c:v>0.27027027027027023</c:v>
                </c:pt>
                <c:pt idx="12">
                  <c:v>0.65135135135135136</c:v>
                </c:pt>
                <c:pt idx="13">
                  <c:v>0.87027027027027026</c:v>
                </c:pt>
                <c:pt idx="14">
                  <c:v>0.80540540540540539</c:v>
                </c:pt>
                <c:pt idx="15">
                  <c:v>0.35675675675675678</c:v>
                </c:pt>
                <c:pt idx="16">
                  <c:v>0.74054054054054053</c:v>
                </c:pt>
                <c:pt idx="17">
                  <c:v>0.68648648648648647</c:v>
                </c:pt>
                <c:pt idx="18">
                  <c:v>0.7432432432432432</c:v>
                </c:pt>
                <c:pt idx="19">
                  <c:v>0.10351351351351351</c:v>
                </c:pt>
                <c:pt idx="20">
                  <c:v>0.88648648648648642</c:v>
                </c:pt>
                <c:pt idx="21">
                  <c:v>0.41081081081081078</c:v>
                </c:pt>
                <c:pt idx="22">
                  <c:v>0.22621621621621621</c:v>
                </c:pt>
                <c:pt idx="23">
                  <c:v>0.10999999999999999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'XRF Cox'!$AE$70</c:f>
              <c:strCache>
                <c:ptCount val="1"/>
                <c:pt idx="0">
                  <c:v>MgO</c:v>
                </c:pt>
              </c:strCache>
            </c:strRef>
          </c:tx>
          <c:marker>
            <c:symbol val="none"/>
          </c:marker>
          <c:val>
            <c:numRef>
              <c:f>'XRF Cox'!$AE$71:$AE$94</c:f>
              <c:numCache>
                <c:formatCode>General</c:formatCode>
                <c:ptCount val="24"/>
                <c:pt idx="0">
                  <c:v>0.58636363636363631</c:v>
                </c:pt>
                <c:pt idx="1">
                  <c:v>0.47272727272727272</c:v>
                </c:pt>
                <c:pt idx="2">
                  <c:v>0.65454545454545443</c:v>
                </c:pt>
                <c:pt idx="3">
                  <c:v>0.71818181818181814</c:v>
                </c:pt>
                <c:pt idx="4">
                  <c:v>0.40909090909090906</c:v>
                </c:pt>
                <c:pt idx="5">
                  <c:v>0.63181818181818172</c:v>
                </c:pt>
                <c:pt idx="6">
                  <c:v>0.6</c:v>
                </c:pt>
                <c:pt idx="7">
                  <c:v>0.79545454545454541</c:v>
                </c:pt>
                <c:pt idx="8">
                  <c:v>0.31863636363636361</c:v>
                </c:pt>
                <c:pt idx="9">
                  <c:v>0.47272727272727272</c:v>
                </c:pt>
                <c:pt idx="10">
                  <c:v>0.6</c:v>
                </c:pt>
                <c:pt idx="11">
                  <c:v>0.48636363636363633</c:v>
                </c:pt>
                <c:pt idx="12">
                  <c:v>0.40818181818181815</c:v>
                </c:pt>
                <c:pt idx="13">
                  <c:v>0.78636363636363626</c:v>
                </c:pt>
                <c:pt idx="14">
                  <c:v>0.44590909090909087</c:v>
                </c:pt>
                <c:pt idx="15">
                  <c:v>0.36454545454545456</c:v>
                </c:pt>
                <c:pt idx="16">
                  <c:v>0.35136363636363632</c:v>
                </c:pt>
                <c:pt idx="17">
                  <c:v>0.73636363636363633</c:v>
                </c:pt>
                <c:pt idx="18">
                  <c:v>0.45909090909090905</c:v>
                </c:pt>
                <c:pt idx="19">
                  <c:v>0.31545454545454543</c:v>
                </c:pt>
                <c:pt idx="20">
                  <c:v>0.8136363636363636</c:v>
                </c:pt>
                <c:pt idx="21">
                  <c:v>0.86818181818181805</c:v>
                </c:pt>
                <c:pt idx="22">
                  <c:v>0.32909090909090905</c:v>
                </c:pt>
                <c:pt idx="23">
                  <c:v>0.42318181818181816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'XRF Cox'!$AF$70</c:f>
              <c:strCache>
                <c:ptCount val="1"/>
                <c:pt idx="0">
                  <c:v>Na2O</c:v>
                </c:pt>
              </c:strCache>
            </c:strRef>
          </c:tx>
          <c:marker>
            <c:symbol val="none"/>
          </c:marker>
          <c:val>
            <c:numRef>
              <c:f>'XRF Cox'!$AF$71:$AF$94</c:f>
              <c:numCache>
                <c:formatCode>General</c:formatCode>
                <c:ptCount val="24"/>
                <c:pt idx="0">
                  <c:v>1.2750000000000001</c:v>
                </c:pt>
                <c:pt idx="1">
                  <c:v>1.25</c:v>
                </c:pt>
                <c:pt idx="2">
                  <c:v>1.35</c:v>
                </c:pt>
                <c:pt idx="3">
                  <c:v>1</c:v>
                </c:pt>
                <c:pt idx="4">
                  <c:v>0.1</c:v>
                </c:pt>
                <c:pt idx="5">
                  <c:v>1.0416666666666667</c:v>
                </c:pt>
                <c:pt idx="6">
                  <c:v>1.2083333333333333</c:v>
                </c:pt>
                <c:pt idx="7">
                  <c:v>1</c:v>
                </c:pt>
                <c:pt idx="8">
                  <c:v>0.45833333333333337</c:v>
                </c:pt>
                <c:pt idx="9">
                  <c:v>1.1166666666666667</c:v>
                </c:pt>
                <c:pt idx="10">
                  <c:v>0.54166666666666674</c:v>
                </c:pt>
                <c:pt idx="11">
                  <c:v>0.65</c:v>
                </c:pt>
                <c:pt idx="12">
                  <c:v>1.375</c:v>
                </c:pt>
                <c:pt idx="13">
                  <c:v>1.6</c:v>
                </c:pt>
                <c:pt idx="14">
                  <c:v>1.6141666666666667</c:v>
                </c:pt>
                <c:pt idx="15">
                  <c:v>0.71500000000000008</c:v>
                </c:pt>
                <c:pt idx="16">
                  <c:v>1.4841666666666669</c:v>
                </c:pt>
                <c:pt idx="17">
                  <c:v>1.3758333333333335</c:v>
                </c:pt>
                <c:pt idx="18">
                  <c:v>1.4895833333333335</c:v>
                </c:pt>
                <c:pt idx="19">
                  <c:v>0.20745833333333336</c:v>
                </c:pt>
                <c:pt idx="20">
                  <c:v>1.7766666666666668</c:v>
                </c:pt>
                <c:pt idx="21">
                  <c:v>1.1000000000000001</c:v>
                </c:pt>
                <c:pt idx="22">
                  <c:v>0.45337500000000003</c:v>
                </c:pt>
                <c:pt idx="23">
                  <c:v>0.22045833333333334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'XRF Cox'!$AO$70</c:f>
              <c:strCache>
                <c:ptCount val="1"/>
                <c:pt idx="0">
                  <c:v>TiO2</c:v>
                </c:pt>
              </c:strCache>
            </c:strRef>
          </c:tx>
          <c:marker>
            <c:symbol val="none"/>
          </c:marker>
          <c:val>
            <c:numRef>
              <c:f>'XRF Cox'!$AO$71:$AO$94</c:f>
              <c:numCache>
                <c:formatCode>General</c:formatCode>
                <c:ptCount val="24"/>
                <c:pt idx="0">
                  <c:v>0.433</c:v>
                </c:pt>
                <c:pt idx="1">
                  <c:v>0.63300000000000001</c:v>
                </c:pt>
                <c:pt idx="2">
                  <c:v>0.64400000000000002</c:v>
                </c:pt>
                <c:pt idx="3">
                  <c:v>0.38400000000000001</c:v>
                </c:pt>
                <c:pt idx="4">
                  <c:v>0.115</c:v>
                </c:pt>
                <c:pt idx="5">
                  <c:v>0.54800000000000004</c:v>
                </c:pt>
                <c:pt idx="6">
                  <c:v>0.65</c:v>
                </c:pt>
                <c:pt idx="7">
                  <c:v>0.41699999999999998</c:v>
                </c:pt>
                <c:pt idx="8">
                  <c:v>7.8600000000000003E-2</c:v>
                </c:pt>
                <c:pt idx="9">
                  <c:v>0.67600000000000005</c:v>
                </c:pt>
                <c:pt idx="10">
                  <c:v>0.20799999999999999</c:v>
                </c:pt>
                <c:pt idx="11">
                  <c:v>0.29899999999999999</c:v>
                </c:pt>
                <c:pt idx="12">
                  <c:v>0.625</c:v>
                </c:pt>
                <c:pt idx="13">
                  <c:v>0.89500000000000002</c:v>
                </c:pt>
                <c:pt idx="14">
                  <c:v>0.81399999999999995</c:v>
                </c:pt>
                <c:pt idx="15">
                  <c:v>0.432</c:v>
                </c:pt>
                <c:pt idx="16">
                  <c:v>0.79400000000000004</c:v>
                </c:pt>
                <c:pt idx="17">
                  <c:v>0.79900000000000004</c:v>
                </c:pt>
                <c:pt idx="18">
                  <c:v>0.90100000000000002</c:v>
                </c:pt>
                <c:pt idx="19">
                  <c:v>0.11799999999999999</c:v>
                </c:pt>
                <c:pt idx="20">
                  <c:v>0.97099999999999997</c:v>
                </c:pt>
                <c:pt idx="21">
                  <c:v>0.44600000000000001</c:v>
                </c:pt>
                <c:pt idx="22">
                  <c:v>0.249</c:v>
                </c:pt>
                <c:pt idx="23">
                  <c:v>0.11899999999999999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'XRF Cox'!$AP$70</c:f>
              <c:strCache>
                <c:ptCount val="1"/>
                <c:pt idx="0">
                  <c:v>P2O5</c:v>
                </c:pt>
              </c:strCache>
            </c:strRef>
          </c:tx>
          <c:marker>
            <c:symbol val="none"/>
          </c:marker>
          <c:val>
            <c:numRef>
              <c:f>'XRF Cox'!$AP$71:$AP$94</c:f>
              <c:numCache>
                <c:formatCode>General</c:formatCode>
                <c:ptCount val="24"/>
                <c:pt idx="0">
                  <c:v>0.28500000000000003</c:v>
                </c:pt>
                <c:pt idx="1">
                  <c:v>0.22000000000000003</c:v>
                </c:pt>
                <c:pt idx="2">
                  <c:v>0.26500000000000001</c:v>
                </c:pt>
                <c:pt idx="3">
                  <c:v>0.22166666666666668</c:v>
                </c:pt>
                <c:pt idx="4">
                  <c:v>0.15083333333333335</c:v>
                </c:pt>
                <c:pt idx="5">
                  <c:v>0.30833333333333335</c:v>
                </c:pt>
                <c:pt idx="6">
                  <c:v>0.36</c:v>
                </c:pt>
                <c:pt idx="7">
                  <c:v>0.24</c:v>
                </c:pt>
                <c:pt idx="8">
                  <c:v>0.16183333333333336</c:v>
                </c:pt>
                <c:pt idx="9">
                  <c:v>0.24666666666666667</c:v>
                </c:pt>
                <c:pt idx="10">
                  <c:v>0.26166666666666666</c:v>
                </c:pt>
                <c:pt idx="11">
                  <c:v>0.22166666666666668</c:v>
                </c:pt>
                <c:pt idx="12">
                  <c:v>0.81333333333333335</c:v>
                </c:pt>
                <c:pt idx="13">
                  <c:v>0.19666666666666666</c:v>
                </c:pt>
                <c:pt idx="14">
                  <c:v>0.28333333333333338</c:v>
                </c:pt>
                <c:pt idx="15">
                  <c:v>0.13650000000000001</c:v>
                </c:pt>
                <c:pt idx="16">
                  <c:v>0.26500000000000001</c:v>
                </c:pt>
                <c:pt idx="17">
                  <c:v>0.4366666666666667</c:v>
                </c:pt>
                <c:pt idx="18">
                  <c:v>0.21500000000000002</c:v>
                </c:pt>
                <c:pt idx="19">
                  <c:v>0.1481666666666667</c:v>
                </c:pt>
                <c:pt idx="20">
                  <c:v>0.24</c:v>
                </c:pt>
                <c:pt idx="21">
                  <c:v>0.27333333333333337</c:v>
                </c:pt>
                <c:pt idx="22">
                  <c:v>0.15783333333333335</c:v>
                </c:pt>
                <c:pt idx="23">
                  <c:v>0.15166666666666667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'XRF Cox'!$AQ$70</c:f>
              <c:strCache>
                <c:ptCount val="1"/>
                <c:pt idx="0">
                  <c:v>MnO</c:v>
                </c:pt>
              </c:strCache>
            </c:strRef>
          </c:tx>
          <c:marker>
            <c:symbol val="none"/>
          </c:marker>
          <c:val>
            <c:numRef>
              <c:f>'XRF Cox'!$AQ$71:$AQ$94</c:f>
              <c:numCache>
                <c:formatCode>General</c:formatCode>
                <c:ptCount val="24"/>
                <c:pt idx="0">
                  <c:v>3.7363636363636363</c:v>
                </c:pt>
                <c:pt idx="1">
                  <c:v>0.39181818181818179</c:v>
                </c:pt>
                <c:pt idx="2">
                  <c:v>0.64454545454545453</c:v>
                </c:pt>
                <c:pt idx="3">
                  <c:v>0.21090909090909091</c:v>
                </c:pt>
                <c:pt idx="4">
                  <c:v>0.04</c:v>
                </c:pt>
                <c:pt idx="5">
                  <c:v>0.94545454545454544</c:v>
                </c:pt>
                <c:pt idx="6">
                  <c:v>0.57181818181818178</c:v>
                </c:pt>
                <c:pt idx="7">
                  <c:v>0.20727272727272728</c:v>
                </c:pt>
                <c:pt idx="8">
                  <c:v>0.84352272727272715</c:v>
                </c:pt>
                <c:pt idx="9">
                  <c:v>0.62909090909090903</c:v>
                </c:pt>
                <c:pt idx="10">
                  <c:v>0.08</c:v>
                </c:pt>
                <c:pt idx="11">
                  <c:v>0.26090909090909092</c:v>
                </c:pt>
                <c:pt idx="12">
                  <c:v>11.636363636363637</c:v>
                </c:pt>
                <c:pt idx="13">
                  <c:v>0.44545454545454549</c:v>
                </c:pt>
                <c:pt idx="14">
                  <c:v>0.40363636363636363</c:v>
                </c:pt>
                <c:pt idx="15">
                  <c:v>0.17545454545454547</c:v>
                </c:pt>
                <c:pt idx="16">
                  <c:v>0.36727272727272725</c:v>
                </c:pt>
                <c:pt idx="17">
                  <c:v>0.66909090909090907</c:v>
                </c:pt>
                <c:pt idx="18">
                  <c:v>0.77727272727272734</c:v>
                </c:pt>
                <c:pt idx="19">
                  <c:v>2.4545454545454547E-2</c:v>
                </c:pt>
                <c:pt idx="20">
                  <c:v>0.52454545454545454</c:v>
                </c:pt>
                <c:pt idx="21">
                  <c:v>0.28818181818181815</c:v>
                </c:pt>
                <c:pt idx="22">
                  <c:v>8.4545454545454535E-2</c:v>
                </c:pt>
                <c:pt idx="23">
                  <c:v>3.0909090909090907E-2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199400"/>
        <c:axId val="38199792"/>
      </c:lineChart>
      <c:catAx>
        <c:axId val="38199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199792"/>
        <c:crosses val="autoZero"/>
        <c:auto val="1"/>
        <c:lblAlgn val="ctr"/>
        <c:lblOffset val="100"/>
        <c:noMultiLvlLbl val="0"/>
      </c:catAx>
      <c:valAx>
        <c:axId val="38199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199400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0599518810148754E-2"/>
          <c:y val="0.26281641878098583"/>
          <c:w val="0.88495603674540679"/>
          <c:h val="0.60995734908136456"/>
        </c:manualLayout>
      </c:layout>
      <c:lineChart>
        <c:grouping val="stacked"/>
        <c:varyColors val="0"/>
        <c:ser>
          <c:idx val="0"/>
          <c:order val="0"/>
          <c:tx>
            <c:strRef>
              <c:f>'XRF Cox'!$D$70</c:f>
              <c:strCache>
                <c:ptCount val="1"/>
                <c:pt idx="0">
                  <c:v>SIO4 </c:v>
                </c:pt>
              </c:strCache>
            </c:strRef>
          </c:tx>
          <c:marker>
            <c:symbol val="none"/>
          </c:marker>
          <c:val>
            <c:numRef>
              <c:f>'XRF Cox'!$D$71:$D$94</c:f>
              <c:numCache>
                <c:formatCode>General</c:formatCode>
                <c:ptCount val="24"/>
                <c:pt idx="0">
                  <c:v>1.0716560509554141</c:v>
                </c:pt>
                <c:pt idx="1">
                  <c:v>1.1178343949044587</c:v>
                </c:pt>
                <c:pt idx="2">
                  <c:v>1.1449044585987262</c:v>
                </c:pt>
                <c:pt idx="3">
                  <c:v>1.1624203821656052</c:v>
                </c:pt>
                <c:pt idx="4">
                  <c:v>1.1640127388535031</c:v>
                </c:pt>
                <c:pt idx="5">
                  <c:v>1.1496815286624205</c:v>
                </c:pt>
                <c:pt idx="6">
                  <c:v>1.1337579617834397</c:v>
                </c:pt>
                <c:pt idx="7">
                  <c:v>1.1242038216560508</c:v>
                </c:pt>
                <c:pt idx="8">
                  <c:v>1.1687898089171975</c:v>
                </c:pt>
                <c:pt idx="9">
                  <c:v>1.1560509554140126</c:v>
                </c:pt>
                <c:pt idx="10">
                  <c:v>1.1385350318471339</c:v>
                </c:pt>
                <c:pt idx="11">
                  <c:v>1.1640127388535031</c:v>
                </c:pt>
                <c:pt idx="12">
                  <c:v>1.0429936305732486</c:v>
                </c:pt>
                <c:pt idx="13">
                  <c:v>1.1019108280254779</c:v>
                </c:pt>
                <c:pt idx="14">
                  <c:v>1.1305732484076434</c:v>
                </c:pt>
                <c:pt idx="15">
                  <c:v>1.1449044585987262</c:v>
                </c:pt>
                <c:pt idx="16">
                  <c:v>1.1242038216560508</c:v>
                </c:pt>
                <c:pt idx="17">
                  <c:v>1.0780254777070064</c:v>
                </c:pt>
                <c:pt idx="18">
                  <c:v>1.1194267515923566</c:v>
                </c:pt>
                <c:pt idx="19">
                  <c:v>1.1958598726114649</c:v>
                </c:pt>
                <c:pt idx="20">
                  <c:v>1.0732484076433122</c:v>
                </c:pt>
                <c:pt idx="21">
                  <c:v>1.1321656050955413</c:v>
                </c:pt>
                <c:pt idx="22">
                  <c:v>1.1974522292993632</c:v>
                </c:pt>
                <c:pt idx="23">
                  <c:v>1.1910828025477707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'XRF Cox'!$E$70</c:f>
              <c:strCache>
                <c:ptCount val="1"/>
                <c:pt idx="0">
                  <c:v>Al2O3</c:v>
                </c:pt>
              </c:strCache>
            </c:strRef>
          </c:tx>
          <c:marker>
            <c:symbol val="none"/>
          </c:marker>
          <c:val>
            <c:numRef>
              <c:f>'XRF Cox'!$E$71:$E$94</c:f>
              <c:numCache>
                <c:formatCode>General</c:formatCode>
                <c:ptCount val="24"/>
                <c:pt idx="0">
                  <c:v>1.0526315789473684</c:v>
                </c:pt>
                <c:pt idx="1">
                  <c:v>1.4276315789473684</c:v>
                </c:pt>
                <c:pt idx="2">
                  <c:v>1.0263157894736843</c:v>
                </c:pt>
                <c:pt idx="3">
                  <c:v>1.3289473684210527</c:v>
                </c:pt>
                <c:pt idx="4">
                  <c:v>1.6315789473684212</c:v>
                </c:pt>
                <c:pt idx="5">
                  <c:v>1.2828947368421053</c:v>
                </c:pt>
                <c:pt idx="6">
                  <c:v>1.263157894736842</c:v>
                </c:pt>
                <c:pt idx="7">
                  <c:v>1.4605263157894737</c:v>
                </c:pt>
                <c:pt idx="8">
                  <c:v>1.4539473684210529</c:v>
                </c:pt>
                <c:pt idx="9">
                  <c:v>1.1907894736842106</c:v>
                </c:pt>
                <c:pt idx="10">
                  <c:v>1.5000000000000002</c:v>
                </c:pt>
                <c:pt idx="11">
                  <c:v>1.4671052631578949</c:v>
                </c:pt>
                <c:pt idx="12">
                  <c:v>1.2039473684210527</c:v>
                </c:pt>
                <c:pt idx="13">
                  <c:v>1.4144736842105263</c:v>
                </c:pt>
                <c:pt idx="14">
                  <c:v>1.1578947368421053</c:v>
                </c:pt>
                <c:pt idx="15">
                  <c:v>1.5131578947368423</c:v>
                </c:pt>
                <c:pt idx="16">
                  <c:v>1.3157894736842106</c:v>
                </c:pt>
                <c:pt idx="17">
                  <c:v>1.2894736842105265</c:v>
                </c:pt>
                <c:pt idx="18">
                  <c:v>1.1710526315789476</c:v>
                </c:pt>
                <c:pt idx="19">
                  <c:v>1.5197368421052633</c:v>
                </c:pt>
                <c:pt idx="20">
                  <c:v>1.3026315789473686</c:v>
                </c:pt>
                <c:pt idx="21">
                  <c:v>1.4078947368421053</c:v>
                </c:pt>
                <c:pt idx="22">
                  <c:v>1.3355263157894739</c:v>
                </c:pt>
                <c:pt idx="23">
                  <c:v>1.486842105263158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'XRF Cox'!$F$70</c:f>
              <c:strCache>
                <c:ptCount val="1"/>
                <c:pt idx="0">
                  <c:v>CaO</c:v>
                </c:pt>
              </c:strCache>
            </c:strRef>
          </c:tx>
          <c:marker>
            <c:symbol val="none"/>
          </c:marker>
          <c:val>
            <c:numRef>
              <c:f>'XRF Cox'!$F$71:$F$94</c:f>
              <c:numCache>
                <c:formatCode>General</c:formatCode>
                <c:ptCount val="24"/>
                <c:pt idx="0">
                  <c:v>0.16904761904761903</c:v>
                </c:pt>
                <c:pt idx="1">
                  <c:v>0.1138095238095238</c:v>
                </c:pt>
                <c:pt idx="2">
                  <c:v>0.21023809523809522</c:v>
                </c:pt>
                <c:pt idx="3">
                  <c:v>7.1428571428571425E-2</c:v>
                </c:pt>
                <c:pt idx="4">
                  <c:v>7.5404761904761891E-2</c:v>
                </c:pt>
                <c:pt idx="5">
                  <c:v>0.12357142857142857</c:v>
                </c:pt>
                <c:pt idx="6">
                  <c:v>0.24523809523809523</c:v>
                </c:pt>
                <c:pt idx="7">
                  <c:v>0.12023809523809523</c:v>
                </c:pt>
                <c:pt idx="8">
                  <c:v>2.8571428571428571E-2</c:v>
                </c:pt>
                <c:pt idx="9">
                  <c:v>9.9047619047619037E-2</c:v>
                </c:pt>
                <c:pt idx="10">
                  <c:v>3.8809523809523808E-2</c:v>
                </c:pt>
                <c:pt idx="11">
                  <c:v>1.6309523809523808E-2</c:v>
                </c:pt>
                <c:pt idx="12">
                  <c:v>0.40952380952380951</c:v>
                </c:pt>
                <c:pt idx="13">
                  <c:v>0.12261904761904761</c:v>
                </c:pt>
                <c:pt idx="14">
                  <c:v>0.22285714285714286</c:v>
                </c:pt>
                <c:pt idx="15">
                  <c:v>5.8857142857142858E-2</c:v>
                </c:pt>
                <c:pt idx="16">
                  <c:v>0.17190476190476189</c:v>
                </c:pt>
                <c:pt idx="17">
                  <c:v>0.28095238095238095</c:v>
                </c:pt>
                <c:pt idx="18">
                  <c:v>0.11809523809523809</c:v>
                </c:pt>
                <c:pt idx="19">
                  <c:v>2.4140476190476188E-2</c:v>
                </c:pt>
                <c:pt idx="20">
                  <c:v>0.26190476190476192</c:v>
                </c:pt>
                <c:pt idx="21">
                  <c:v>0.12428571428571429</c:v>
                </c:pt>
                <c:pt idx="22">
                  <c:v>1.1404761904761904E-2</c:v>
                </c:pt>
                <c:pt idx="23">
                  <c:v>5.0523809523809519E-2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'XRF Cox'!$G$70</c:f>
              <c:strCache>
                <c:ptCount val="1"/>
                <c:pt idx="0">
                  <c:v>Fe2O3</c:v>
                </c:pt>
              </c:strCache>
            </c:strRef>
          </c:tx>
          <c:marker>
            <c:symbol val="none"/>
          </c:marker>
          <c:val>
            <c:numRef>
              <c:f>'XRF Cox'!$G$71:$G$94</c:f>
              <c:numCache>
                <c:formatCode>General</c:formatCode>
                <c:ptCount val="24"/>
                <c:pt idx="0">
                  <c:v>0.95333333333333337</c:v>
                </c:pt>
                <c:pt idx="1">
                  <c:v>0.85777777777777775</c:v>
                </c:pt>
                <c:pt idx="2">
                  <c:v>0.9866666666666668</c:v>
                </c:pt>
                <c:pt idx="3">
                  <c:v>0.55555555555555558</c:v>
                </c:pt>
                <c:pt idx="4">
                  <c:v>0.13044444444444445</c:v>
                </c:pt>
                <c:pt idx="5">
                  <c:v>0.76666666666666672</c:v>
                </c:pt>
                <c:pt idx="6">
                  <c:v>0.82444444444444442</c:v>
                </c:pt>
                <c:pt idx="7">
                  <c:v>0.61111111111111116</c:v>
                </c:pt>
                <c:pt idx="8">
                  <c:v>0.94599999999999995</c:v>
                </c:pt>
                <c:pt idx="9">
                  <c:v>0.86888888888888893</c:v>
                </c:pt>
                <c:pt idx="10">
                  <c:v>0.66666666666666663</c:v>
                </c:pt>
                <c:pt idx="11">
                  <c:v>0.42666666666666664</c:v>
                </c:pt>
                <c:pt idx="12">
                  <c:v>1.1644444444444444</c:v>
                </c:pt>
                <c:pt idx="13">
                  <c:v>0.46222222222222226</c:v>
                </c:pt>
                <c:pt idx="14">
                  <c:v>1.0777777777777777</c:v>
                </c:pt>
                <c:pt idx="15">
                  <c:v>0.49555555555555553</c:v>
                </c:pt>
                <c:pt idx="16">
                  <c:v>0.88444444444444448</c:v>
                </c:pt>
                <c:pt idx="17">
                  <c:v>1.3355555555555556</c:v>
                </c:pt>
                <c:pt idx="18">
                  <c:v>1.1066666666666667</c:v>
                </c:pt>
                <c:pt idx="19">
                  <c:v>8.1777777777777783E-2</c:v>
                </c:pt>
                <c:pt idx="20">
                  <c:v>1.1444444444444446</c:v>
                </c:pt>
                <c:pt idx="21">
                  <c:v>0.61333333333333329</c:v>
                </c:pt>
                <c:pt idx="22">
                  <c:v>0.29555555555555557</c:v>
                </c:pt>
                <c:pt idx="23">
                  <c:v>0.10555555555555556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'XRF Cox'!$H$70</c:f>
              <c:strCache>
                <c:ptCount val="1"/>
                <c:pt idx="0">
                  <c:v>K2O</c:v>
                </c:pt>
              </c:strCache>
            </c:strRef>
          </c:tx>
          <c:marker>
            <c:symbol val="none"/>
          </c:marker>
          <c:val>
            <c:numRef>
              <c:f>'XRF Cox'!$H$71:$H$94</c:f>
              <c:numCache>
                <c:formatCode>General</c:formatCode>
                <c:ptCount val="24"/>
                <c:pt idx="0">
                  <c:v>0.6470588235294118</c:v>
                </c:pt>
                <c:pt idx="1">
                  <c:v>0.62352941176470589</c:v>
                </c:pt>
                <c:pt idx="2">
                  <c:v>0.75882352941176479</c:v>
                </c:pt>
                <c:pt idx="3">
                  <c:v>0.37647058823529411</c:v>
                </c:pt>
                <c:pt idx="4">
                  <c:v>9.8235294117647073E-2</c:v>
                </c:pt>
                <c:pt idx="5">
                  <c:v>0.57352941176470584</c:v>
                </c:pt>
                <c:pt idx="6">
                  <c:v>0.7</c:v>
                </c:pt>
                <c:pt idx="7">
                  <c:v>0.4264705882352941</c:v>
                </c:pt>
                <c:pt idx="8">
                  <c:v>0.19382352941176473</c:v>
                </c:pt>
                <c:pt idx="9">
                  <c:v>0.65294117647058836</c:v>
                </c:pt>
                <c:pt idx="10">
                  <c:v>0.24088235294117646</c:v>
                </c:pt>
                <c:pt idx="11">
                  <c:v>0.29411764705882354</c:v>
                </c:pt>
                <c:pt idx="12">
                  <c:v>0.70882352941176474</c:v>
                </c:pt>
                <c:pt idx="13">
                  <c:v>0.94705882352941184</c:v>
                </c:pt>
                <c:pt idx="14">
                  <c:v>0.87647058823529411</c:v>
                </c:pt>
                <c:pt idx="15">
                  <c:v>0.38823529411764707</c:v>
                </c:pt>
                <c:pt idx="16">
                  <c:v>0.80588235294117661</c:v>
                </c:pt>
                <c:pt idx="17">
                  <c:v>0.74705882352941178</c:v>
                </c:pt>
                <c:pt idx="18">
                  <c:v>0.80882352941176472</c:v>
                </c:pt>
                <c:pt idx="19">
                  <c:v>0.11264705882352942</c:v>
                </c:pt>
                <c:pt idx="20">
                  <c:v>0.96470588235294119</c:v>
                </c:pt>
                <c:pt idx="21">
                  <c:v>0.44705882352941179</c:v>
                </c:pt>
                <c:pt idx="22">
                  <c:v>0.2461764705882353</c:v>
                </c:pt>
                <c:pt idx="23">
                  <c:v>0.11970588235294118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'XRF Cox'!$I$70</c:f>
              <c:strCache>
                <c:ptCount val="1"/>
                <c:pt idx="0">
                  <c:v>MgO</c:v>
                </c:pt>
              </c:strCache>
            </c:strRef>
          </c:tx>
          <c:marker>
            <c:symbol val="none"/>
          </c:marker>
          <c:val>
            <c:numRef>
              <c:f>'XRF Cox'!$I$71:$I$94</c:f>
              <c:numCache>
                <c:formatCode>General</c:formatCode>
                <c:ptCount val="24"/>
                <c:pt idx="0">
                  <c:v>0.58636363636363631</c:v>
                </c:pt>
                <c:pt idx="1">
                  <c:v>0.47272727272727272</c:v>
                </c:pt>
                <c:pt idx="2">
                  <c:v>0.65454545454545443</c:v>
                </c:pt>
                <c:pt idx="3">
                  <c:v>0.71818181818181814</c:v>
                </c:pt>
                <c:pt idx="4">
                  <c:v>0.40909090909090906</c:v>
                </c:pt>
                <c:pt idx="5">
                  <c:v>0.63181818181818172</c:v>
                </c:pt>
                <c:pt idx="6">
                  <c:v>0.6</c:v>
                </c:pt>
                <c:pt idx="7">
                  <c:v>0.79545454545454541</c:v>
                </c:pt>
                <c:pt idx="8">
                  <c:v>0.31863636363636361</c:v>
                </c:pt>
                <c:pt idx="9">
                  <c:v>0.47272727272727272</c:v>
                </c:pt>
                <c:pt idx="10">
                  <c:v>0.6</c:v>
                </c:pt>
                <c:pt idx="11">
                  <c:v>0.48636363636363633</c:v>
                </c:pt>
                <c:pt idx="12">
                  <c:v>0.40818181818181815</c:v>
                </c:pt>
                <c:pt idx="13">
                  <c:v>0.78636363636363626</c:v>
                </c:pt>
                <c:pt idx="14">
                  <c:v>0.44590909090909087</c:v>
                </c:pt>
                <c:pt idx="15">
                  <c:v>0.36454545454545456</c:v>
                </c:pt>
                <c:pt idx="16">
                  <c:v>0.35136363636363632</c:v>
                </c:pt>
                <c:pt idx="17">
                  <c:v>0.73636363636363633</c:v>
                </c:pt>
                <c:pt idx="18">
                  <c:v>0.45909090909090905</c:v>
                </c:pt>
                <c:pt idx="19">
                  <c:v>0.31545454545454543</c:v>
                </c:pt>
                <c:pt idx="20">
                  <c:v>0.8136363636363636</c:v>
                </c:pt>
                <c:pt idx="21">
                  <c:v>0.86818181818181805</c:v>
                </c:pt>
                <c:pt idx="22">
                  <c:v>0.32909090909090905</c:v>
                </c:pt>
                <c:pt idx="23">
                  <c:v>0.42318181818181816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'XRF Cox'!$J$70</c:f>
              <c:strCache>
                <c:ptCount val="1"/>
                <c:pt idx="0">
                  <c:v>Na2O</c:v>
                </c:pt>
              </c:strCache>
            </c:strRef>
          </c:tx>
          <c:marker>
            <c:symbol val="none"/>
          </c:marker>
          <c:val>
            <c:numRef>
              <c:f>'XRF Cox'!$J$71:$J$94</c:f>
              <c:numCache>
                <c:formatCode>General</c:formatCode>
                <c:ptCount val="24"/>
                <c:pt idx="0">
                  <c:v>0.3923076923076923</c:v>
                </c:pt>
                <c:pt idx="1">
                  <c:v>0.38461538461538464</c:v>
                </c:pt>
                <c:pt idx="2">
                  <c:v>0.41538461538461541</c:v>
                </c:pt>
                <c:pt idx="3">
                  <c:v>0.30769230769230771</c:v>
                </c:pt>
                <c:pt idx="4">
                  <c:v>3.0769230769230767E-2</c:v>
                </c:pt>
                <c:pt idx="5">
                  <c:v>0.32051282051282054</c:v>
                </c:pt>
                <c:pt idx="6">
                  <c:v>0.37179487179487181</c:v>
                </c:pt>
                <c:pt idx="7">
                  <c:v>0.30769230769230771</c:v>
                </c:pt>
                <c:pt idx="8">
                  <c:v>0.14102564102564105</c:v>
                </c:pt>
                <c:pt idx="9">
                  <c:v>0.34358974358974359</c:v>
                </c:pt>
                <c:pt idx="10">
                  <c:v>0.16666666666666669</c:v>
                </c:pt>
                <c:pt idx="11">
                  <c:v>0.2</c:v>
                </c:pt>
                <c:pt idx="12">
                  <c:v>0.42307692307692307</c:v>
                </c:pt>
                <c:pt idx="13">
                  <c:v>0.49230769230769228</c:v>
                </c:pt>
                <c:pt idx="14">
                  <c:v>0.4966666666666667</c:v>
                </c:pt>
                <c:pt idx="15">
                  <c:v>0.22000000000000003</c:v>
                </c:pt>
                <c:pt idx="16">
                  <c:v>0.45666666666666672</c:v>
                </c:pt>
                <c:pt idx="17">
                  <c:v>0.42333333333333334</c:v>
                </c:pt>
                <c:pt idx="18">
                  <c:v>0.45833333333333337</c:v>
                </c:pt>
                <c:pt idx="19">
                  <c:v>6.3833333333333339E-2</c:v>
                </c:pt>
                <c:pt idx="20">
                  <c:v>0.54666666666666675</c:v>
                </c:pt>
                <c:pt idx="21">
                  <c:v>0.33846153846153848</c:v>
                </c:pt>
                <c:pt idx="22">
                  <c:v>0.13950000000000001</c:v>
                </c:pt>
                <c:pt idx="23">
                  <c:v>6.7833333333333343E-2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'XRF Cox'!$K$70</c:f>
              <c:strCache>
                <c:ptCount val="1"/>
                <c:pt idx="0">
                  <c:v>TiO2</c:v>
                </c:pt>
              </c:strCache>
            </c:strRef>
          </c:tx>
          <c:marker>
            <c:symbol val="none"/>
          </c:marker>
          <c:val>
            <c:numRef>
              <c:f>'XRF Cox'!$K$71:$K$94</c:f>
              <c:numCache>
                <c:formatCode>General</c:formatCode>
                <c:ptCount val="24"/>
                <c:pt idx="0">
                  <c:v>0.86599999999999999</c:v>
                </c:pt>
                <c:pt idx="1">
                  <c:v>1.266</c:v>
                </c:pt>
                <c:pt idx="2">
                  <c:v>1.288</c:v>
                </c:pt>
                <c:pt idx="3">
                  <c:v>0.76800000000000002</c:v>
                </c:pt>
                <c:pt idx="4">
                  <c:v>0.23</c:v>
                </c:pt>
                <c:pt idx="5">
                  <c:v>1.0960000000000001</c:v>
                </c:pt>
                <c:pt idx="6">
                  <c:v>1.3</c:v>
                </c:pt>
                <c:pt idx="7">
                  <c:v>0.83399999999999996</c:v>
                </c:pt>
                <c:pt idx="8">
                  <c:v>0.15720000000000001</c:v>
                </c:pt>
                <c:pt idx="9">
                  <c:v>1.3520000000000001</c:v>
                </c:pt>
                <c:pt idx="10">
                  <c:v>0.41599999999999998</c:v>
                </c:pt>
                <c:pt idx="11">
                  <c:v>0.59799999999999998</c:v>
                </c:pt>
                <c:pt idx="12">
                  <c:v>1.25</c:v>
                </c:pt>
                <c:pt idx="13">
                  <c:v>1.79</c:v>
                </c:pt>
                <c:pt idx="14">
                  <c:v>1.6279999999999999</c:v>
                </c:pt>
                <c:pt idx="15">
                  <c:v>0.86399999999999999</c:v>
                </c:pt>
                <c:pt idx="16">
                  <c:v>1.5880000000000001</c:v>
                </c:pt>
                <c:pt idx="17">
                  <c:v>1.5980000000000001</c:v>
                </c:pt>
                <c:pt idx="18">
                  <c:v>1.802</c:v>
                </c:pt>
                <c:pt idx="19">
                  <c:v>0.23599999999999999</c:v>
                </c:pt>
                <c:pt idx="20">
                  <c:v>1.9419999999999999</c:v>
                </c:pt>
                <c:pt idx="21">
                  <c:v>0.89200000000000002</c:v>
                </c:pt>
                <c:pt idx="22">
                  <c:v>0.498</c:v>
                </c:pt>
                <c:pt idx="23">
                  <c:v>0.23799999999999999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'XRF Cox'!$L$70</c:f>
              <c:strCache>
                <c:ptCount val="1"/>
                <c:pt idx="0">
                  <c:v>P2O5</c:v>
                </c:pt>
              </c:strCache>
            </c:strRef>
          </c:tx>
          <c:marker>
            <c:symbol val="none"/>
          </c:marker>
          <c:val>
            <c:numRef>
              <c:f>'XRF Cox'!$L$71:$L$94</c:f>
              <c:numCache>
                <c:formatCode>General</c:formatCode>
                <c:ptCount val="24"/>
                <c:pt idx="0">
                  <c:v>1.0058823529411764</c:v>
                </c:pt>
                <c:pt idx="1">
                  <c:v>0.77647058823529413</c:v>
                </c:pt>
                <c:pt idx="2">
                  <c:v>0.93529411764705872</c:v>
                </c:pt>
                <c:pt idx="3">
                  <c:v>0.78235294117647058</c:v>
                </c:pt>
                <c:pt idx="4">
                  <c:v>0.53235294117647058</c:v>
                </c:pt>
                <c:pt idx="5">
                  <c:v>1.088235294117647</c:v>
                </c:pt>
                <c:pt idx="6">
                  <c:v>1.2705882352941176</c:v>
                </c:pt>
                <c:pt idx="7">
                  <c:v>0.84705882352941164</c:v>
                </c:pt>
                <c:pt idx="8">
                  <c:v>0.57117647058823529</c:v>
                </c:pt>
                <c:pt idx="9">
                  <c:v>0.87058823529411755</c:v>
                </c:pt>
                <c:pt idx="10">
                  <c:v>0.92352941176470582</c:v>
                </c:pt>
                <c:pt idx="11">
                  <c:v>0.78235294117647058</c:v>
                </c:pt>
                <c:pt idx="12">
                  <c:v>2.8705882352941172</c:v>
                </c:pt>
                <c:pt idx="13">
                  <c:v>0.69411764705882339</c:v>
                </c:pt>
                <c:pt idx="14">
                  <c:v>1</c:v>
                </c:pt>
                <c:pt idx="15">
                  <c:v>0.48176470588235293</c:v>
                </c:pt>
                <c:pt idx="16">
                  <c:v>0.93529411764705872</c:v>
                </c:pt>
                <c:pt idx="17">
                  <c:v>1.5411764705882351</c:v>
                </c:pt>
                <c:pt idx="18">
                  <c:v>0.75882352941176467</c:v>
                </c:pt>
                <c:pt idx="19">
                  <c:v>0.52294117647058824</c:v>
                </c:pt>
                <c:pt idx="20">
                  <c:v>0.84705882352941164</c:v>
                </c:pt>
                <c:pt idx="21">
                  <c:v>0.96470588235294119</c:v>
                </c:pt>
                <c:pt idx="22">
                  <c:v>0.55705882352941172</c:v>
                </c:pt>
                <c:pt idx="23">
                  <c:v>0.53529411764705881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'XRF Cox'!$M$70</c:f>
              <c:strCache>
                <c:ptCount val="1"/>
                <c:pt idx="0">
                  <c:v>MnO</c:v>
                </c:pt>
              </c:strCache>
            </c:strRef>
          </c:tx>
          <c:marker>
            <c:symbol val="none"/>
          </c:marker>
          <c:val>
            <c:numRef>
              <c:f>'XRF Cox'!$M$71:$M$94</c:f>
              <c:numCache>
                <c:formatCode>General</c:formatCode>
                <c:ptCount val="24"/>
                <c:pt idx="0">
                  <c:v>5.1374999999999993</c:v>
                </c:pt>
                <c:pt idx="1">
                  <c:v>0.53874999999999995</c:v>
                </c:pt>
                <c:pt idx="2">
                  <c:v>0.88625000000000009</c:v>
                </c:pt>
                <c:pt idx="3">
                  <c:v>0.28999999999999998</c:v>
                </c:pt>
                <c:pt idx="4">
                  <c:v>5.5E-2</c:v>
                </c:pt>
                <c:pt idx="5">
                  <c:v>1.2999999999999998</c:v>
                </c:pt>
                <c:pt idx="6">
                  <c:v>0.78625</c:v>
                </c:pt>
                <c:pt idx="7">
                  <c:v>0.28500000000000003</c:v>
                </c:pt>
                <c:pt idx="8">
                  <c:v>1.1598437499999998</c:v>
                </c:pt>
                <c:pt idx="9">
                  <c:v>0.86499999999999999</c:v>
                </c:pt>
                <c:pt idx="10">
                  <c:v>0.11</c:v>
                </c:pt>
                <c:pt idx="11">
                  <c:v>0.35875000000000001</c:v>
                </c:pt>
                <c:pt idx="12">
                  <c:v>16</c:v>
                </c:pt>
                <c:pt idx="13">
                  <c:v>0.61250000000000004</c:v>
                </c:pt>
                <c:pt idx="14">
                  <c:v>0.55500000000000005</c:v>
                </c:pt>
                <c:pt idx="15">
                  <c:v>0.24125000000000002</c:v>
                </c:pt>
                <c:pt idx="16">
                  <c:v>0.505</c:v>
                </c:pt>
                <c:pt idx="17">
                  <c:v>0.91999999999999993</c:v>
                </c:pt>
                <c:pt idx="18">
                  <c:v>1.0687500000000001</c:v>
                </c:pt>
                <c:pt idx="19">
                  <c:v>3.3750000000000002E-2</c:v>
                </c:pt>
                <c:pt idx="20">
                  <c:v>0.72124999999999995</c:v>
                </c:pt>
                <c:pt idx="21">
                  <c:v>0.39624999999999999</c:v>
                </c:pt>
                <c:pt idx="22">
                  <c:v>0.11624999999999999</c:v>
                </c:pt>
                <c:pt idx="23">
                  <c:v>4.2499999999999996E-2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6164856"/>
        <c:axId val="386166032"/>
      </c:lineChart>
      <c:catAx>
        <c:axId val="386164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6166032"/>
        <c:crosses val="autoZero"/>
        <c:auto val="1"/>
        <c:lblAlgn val="ctr"/>
        <c:lblOffset val="100"/>
        <c:noMultiLvlLbl val="0"/>
      </c:catAx>
      <c:valAx>
        <c:axId val="386166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6164856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07210194837955"/>
          <c:y val="6.7093503937007873E-2"/>
          <c:w val="0.85004812843318989"/>
          <c:h val="0.79536122047244096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'XRF Cox'!$K$4:$K$27</c:f>
              <c:strCache>
                <c:ptCount val="24"/>
                <c:pt idx="0">
                  <c:v>0.04</c:v>
                </c:pt>
                <c:pt idx="1">
                  <c:v>0.07</c:v>
                </c:pt>
                <c:pt idx="2">
                  <c:v>0.02</c:v>
                </c:pt>
                <c:pt idx="3">
                  <c:v>0.00</c:v>
                </c:pt>
                <c:pt idx="4">
                  <c:v>0.10</c:v>
                </c:pt>
                <c:pt idx="5">
                  <c:v>0.06</c:v>
                </c:pt>
                <c:pt idx="6">
                  <c:v>0.02</c:v>
                </c:pt>
                <c:pt idx="7">
                  <c:v>0.09</c:v>
                </c:pt>
                <c:pt idx="8">
                  <c:v>0.07</c:v>
                </c:pt>
                <c:pt idx="9">
                  <c:v>0.01</c:v>
                </c:pt>
                <c:pt idx="10">
                  <c:v>0.03</c:v>
                </c:pt>
                <c:pt idx="11">
                  <c:v>1.28</c:v>
                </c:pt>
                <c:pt idx="12">
                  <c:v>0.05</c:v>
                </c:pt>
                <c:pt idx="13">
                  <c:v>0.04</c:v>
                </c:pt>
                <c:pt idx="14">
                  <c:v>0.02</c:v>
                </c:pt>
                <c:pt idx="15">
                  <c:v>0.04</c:v>
                </c:pt>
                <c:pt idx="16">
                  <c:v>0.07</c:v>
                </c:pt>
                <c:pt idx="17">
                  <c:v>0.09</c:v>
                </c:pt>
                <c:pt idx="18">
                  <c:v>0.00</c:v>
                </c:pt>
                <c:pt idx="19">
                  <c:v>0.06</c:v>
                </c:pt>
                <c:pt idx="20">
                  <c:v>0.03</c:v>
                </c:pt>
                <c:pt idx="21">
                  <c:v>0.01</c:v>
                </c:pt>
                <c:pt idx="22">
                  <c:v>0.00</c:v>
                </c:pt>
                <c:pt idx="23">
                  <c:v>maan</c:v>
                </c:pt>
              </c:strCache>
            </c:strRef>
          </c:cat>
          <c:val>
            <c:numRef>
              <c:f>'XRF Cox'!$L$4:$L$27</c:f>
              <c:numCache>
                <c:formatCode>0.00</c:formatCode>
                <c:ptCount val="24"/>
                <c:pt idx="0">
                  <c:v>84.115047678114578</c:v>
                </c:pt>
                <c:pt idx="1">
                  <c:v>75.424261470773104</c:v>
                </c:pt>
                <c:pt idx="2">
                  <c:v>87.90252393385552</c:v>
                </c:pt>
                <c:pt idx="3">
                  <c:v>96.986003511831896</c:v>
                </c:pt>
                <c:pt idx="4">
                  <c:v>83.982945001938077</c:v>
                </c:pt>
                <c:pt idx="5">
                  <c:v>79.800498753117211</c:v>
                </c:pt>
                <c:pt idx="6">
                  <c:v>87.556694931966092</c:v>
                </c:pt>
                <c:pt idx="7">
                  <c:v>94.327542788851432</c:v>
                </c:pt>
                <c:pt idx="8">
                  <c:v>81.989490849791636</c:v>
                </c:pt>
                <c:pt idx="9">
                  <c:v>93.320235756385074</c:v>
                </c:pt>
                <c:pt idx="10">
                  <c:v>92.345280245149794</c:v>
                </c:pt>
                <c:pt idx="11">
                  <c:v>75.996677740863788</c:v>
                </c:pt>
                <c:pt idx="12">
                  <c:v>79.175105873688082</c:v>
                </c:pt>
                <c:pt idx="13">
                  <c:v>75.04370443013687</c:v>
                </c:pt>
                <c:pt idx="14">
                  <c:v>90.461431965136953</c:v>
                </c:pt>
                <c:pt idx="15">
                  <c:v>79.229885512815429</c:v>
                </c:pt>
                <c:pt idx="16">
                  <c:v>78.491049617556371</c:v>
                </c:pt>
                <c:pt idx="17">
                  <c:v>77.955635360325843</c:v>
                </c:pt>
                <c:pt idx="18">
                  <c:v>96.92304981173433</c:v>
                </c:pt>
                <c:pt idx="19">
                  <c:v>75.250836120401331</c:v>
                </c:pt>
                <c:pt idx="20">
                  <c:v>86.422744527905664</c:v>
                </c:pt>
                <c:pt idx="21">
                  <c:v>93.423750342285302</c:v>
                </c:pt>
                <c:pt idx="22">
                  <c:v>96.23675946132964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200184"/>
        <c:axId val="38197832"/>
      </c:barChart>
      <c:catAx>
        <c:axId val="38200184"/>
        <c:scaling>
          <c:orientation val="minMax"/>
        </c:scaling>
        <c:delete val="0"/>
        <c:axPos val="b"/>
        <c:numFmt formatCode="#,##0.0" sourceLinked="0"/>
        <c:majorTickMark val="out"/>
        <c:minorTickMark val="none"/>
        <c:tickLblPos val="nextTo"/>
        <c:crossAx val="38197832"/>
        <c:crosses val="autoZero"/>
        <c:auto val="1"/>
        <c:lblAlgn val="ctr"/>
        <c:lblOffset val="100"/>
        <c:noMultiLvlLbl val="0"/>
      </c:catAx>
      <c:valAx>
        <c:axId val="38197832"/>
        <c:scaling>
          <c:orientation val="minMax"/>
          <c:max val="8"/>
          <c:min val="0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crossAx val="38200184"/>
        <c:crosses val="autoZero"/>
        <c:crossBetween val="between"/>
        <c:majorUnit val="20"/>
        <c:minorUnit val="4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30</xdr:row>
      <xdr:rowOff>57150</xdr:rowOff>
    </xdr:from>
    <xdr:to>
      <xdr:col>10</xdr:col>
      <xdr:colOff>47625</xdr:colOff>
      <xdr:row>44</xdr:row>
      <xdr:rowOff>0</xdr:rowOff>
    </xdr:to>
    <xdr:graphicFrame macro="">
      <xdr:nvGraphicFramePr>
        <xdr:cNvPr id="1343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30</xdr:row>
      <xdr:rowOff>171450</xdr:rowOff>
    </xdr:from>
    <xdr:to>
      <xdr:col>10</xdr:col>
      <xdr:colOff>66675</xdr:colOff>
      <xdr:row>44</xdr:row>
      <xdr:rowOff>114300</xdr:rowOff>
    </xdr:to>
    <xdr:graphicFrame macro="">
      <xdr:nvGraphicFramePr>
        <xdr:cNvPr id="134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123825</xdr:colOff>
      <xdr:row>33</xdr:row>
      <xdr:rowOff>19050</xdr:rowOff>
    </xdr:from>
    <xdr:to>
      <xdr:col>26</xdr:col>
      <xdr:colOff>0</xdr:colOff>
      <xdr:row>46</xdr:row>
      <xdr:rowOff>161925</xdr:rowOff>
    </xdr:to>
    <xdr:graphicFrame macro="">
      <xdr:nvGraphicFramePr>
        <xdr:cNvPr id="134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800100</xdr:colOff>
      <xdr:row>33</xdr:row>
      <xdr:rowOff>19050</xdr:rowOff>
    </xdr:from>
    <xdr:to>
      <xdr:col>26</xdr:col>
      <xdr:colOff>0</xdr:colOff>
      <xdr:row>46</xdr:row>
      <xdr:rowOff>161925</xdr:rowOff>
    </xdr:to>
    <xdr:graphicFrame macro="">
      <xdr:nvGraphicFramePr>
        <xdr:cNvPr id="1346" name="Chart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19050</xdr:colOff>
      <xdr:row>79</xdr:row>
      <xdr:rowOff>0</xdr:rowOff>
    </xdr:from>
    <xdr:to>
      <xdr:col>41</xdr:col>
      <xdr:colOff>400050</xdr:colOff>
      <xdr:row>92</xdr:row>
      <xdr:rowOff>142875</xdr:rowOff>
    </xdr:to>
    <xdr:graphicFrame macro="">
      <xdr:nvGraphicFramePr>
        <xdr:cNvPr id="134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228600</xdr:colOff>
      <xdr:row>77</xdr:row>
      <xdr:rowOff>161925</xdr:rowOff>
    </xdr:from>
    <xdr:to>
      <xdr:col>12</xdr:col>
      <xdr:colOff>828675</xdr:colOff>
      <xdr:row>91</xdr:row>
      <xdr:rowOff>104775</xdr:rowOff>
    </xdr:to>
    <xdr:graphicFrame macro="">
      <xdr:nvGraphicFramePr>
        <xdr:cNvPr id="134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133350</xdr:colOff>
      <xdr:row>35</xdr:row>
      <xdr:rowOff>85725</xdr:rowOff>
    </xdr:from>
    <xdr:to>
      <xdr:col>25</xdr:col>
      <xdr:colOff>466726</xdr:colOff>
      <xdr:row>47</xdr:row>
      <xdr:rowOff>95250</xdr:rowOff>
    </xdr:to>
    <xdr:graphicFrame macro="">
      <xdr:nvGraphicFramePr>
        <xdr:cNvPr id="1349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0"/>
  <sheetViews>
    <sheetView tabSelected="1" workbookViewId="0">
      <selection activeCell="T4" sqref="T4:T27"/>
    </sheetView>
  </sheetViews>
  <sheetFormatPr defaultColWidth="11" defaultRowHeight="15.75" x14ac:dyDescent="0.25"/>
  <cols>
    <col min="1" max="1" width="8.625" style="5" customWidth="1"/>
    <col min="2" max="11" width="5.875" style="1" customWidth="1"/>
  </cols>
  <sheetData>
    <row r="1" spans="1:46" ht="20.100000000000001" customHeight="1" x14ac:dyDescent="0.25">
      <c r="A1" s="21" t="s">
        <v>35</v>
      </c>
      <c r="B1" s="20" t="s">
        <v>34</v>
      </c>
      <c r="C1" s="20"/>
      <c r="D1" s="20"/>
      <c r="E1" s="20"/>
      <c r="F1" s="20"/>
      <c r="G1" s="20"/>
      <c r="H1" s="20"/>
      <c r="I1" s="20"/>
      <c r="J1" s="20"/>
      <c r="K1" s="20"/>
    </row>
    <row r="2" spans="1:46" ht="20.100000000000001" customHeight="1" x14ac:dyDescent="0.25">
      <c r="A2" s="22"/>
      <c r="B2" s="2" t="s">
        <v>2</v>
      </c>
      <c r="C2" s="2" t="s">
        <v>1</v>
      </c>
      <c r="D2" s="2" t="s">
        <v>8</v>
      </c>
      <c r="E2" s="2" t="s">
        <v>4</v>
      </c>
      <c r="F2" s="2" t="s">
        <v>0</v>
      </c>
      <c r="G2" s="2" t="s">
        <v>3</v>
      </c>
      <c r="H2" s="2" t="s">
        <v>33</v>
      </c>
      <c r="I2" s="2" t="s">
        <v>5</v>
      </c>
      <c r="J2" s="2" t="s">
        <v>6</v>
      </c>
      <c r="K2" s="2" t="s">
        <v>7</v>
      </c>
      <c r="L2" s="7" t="s">
        <v>37</v>
      </c>
      <c r="M2" s="7" t="s">
        <v>36</v>
      </c>
      <c r="N2" s="7"/>
      <c r="O2" s="11" t="s">
        <v>57</v>
      </c>
      <c r="P2" s="11" t="s">
        <v>59</v>
      </c>
      <c r="Q2" s="11" t="s">
        <v>61</v>
      </c>
      <c r="R2" s="11" t="s">
        <v>62</v>
      </c>
      <c r="S2" s="11"/>
      <c r="T2" s="11"/>
      <c r="U2" s="7"/>
      <c r="V2" s="7"/>
      <c r="W2" s="7"/>
      <c r="X2" s="11" t="s">
        <v>40</v>
      </c>
      <c r="Y2" s="11" t="s">
        <v>41</v>
      </c>
      <c r="AA2" s="9" t="s">
        <v>42</v>
      </c>
      <c r="AB2" s="9" t="s">
        <v>43</v>
      </c>
      <c r="AD2" s="12" t="s">
        <v>45</v>
      </c>
      <c r="AE2" s="12" t="s">
        <v>46</v>
      </c>
      <c r="AF2" s="12" t="s">
        <v>47</v>
      </c>
      <c r="AG2" s="12"/>
      <c r="AH2" s="12" t="s">
        <v>53</v>
      </c>
      <c r="AI2" s="12" t="s">
        <v>54</v>
      </c>
      <c r="AJ2" s="12" t="s">
        <v>55</v>
      </c>
      <c r="AK2" s="12" t="s">
        <v>56</v>
      </c>
      <c r="AL2" s="14" t="s">
        <v>45</v>
      </c>
      <c r="AM2" s="14" t="s">
        <v>46</v>
      </c>
      <c r="AN2" s="14" t="s">
        <v>47</v>
      </c>
      <c r="AO2" s="12"/>
      <c r="AP2" s="12" t="s">
        <v>48</v>
      </c>
      <c r="AQ2" s="12" t="s">
        <v>50</v>
      </c>
      <c r="AS2" s="12" t="s">
        <v>49</v>
      </c>
      <c r="AT2" s="12" t="s">
        <v>51</v>
      </c>
    </row>
    <row r="3" spans="1:46" ht="20.100000000000001" customHeight="1" x14ac:dyDescent="0.25">
      <c r="A3" s="4" t="s">
        <v>9</v>
      </c>
      <c r="B3" s="6">
        <v>67.3</v>
      </c>
      <c r="C3" s="6">
        <v>16</v>
      </c>
      <c r="D3" s="3">
        <v>4.29</v>
      </c>
      <c r="E3" s="3">
        <v>2.2000000000000002</v>
      </c>
      <c r="F3" s="3">
        <v>1.29</v>
      </c>
      <c r="G3" s="3">
        <v>0.17100000000000001</v>
      </c>
      <c r="H3" s="3">
        <v>1.53</v>
      </c>
      <c r="I3" s="3">
        <v>0.71</v>
      </c>
      <c r="J3" s="3">
        <v>0.433</v>
      </c>
      <c r="K3" s="3">
        <v>0.41099999999999998</v>
      </c>
      <c r="L3" s="8">
        <f>(C3/(C3+I3+H3+E3))*100</f>
        <v>78.277886497064571</v>
      </c>
      <c r="M3">
        <f>((D3+E3+H3+I3+F3+K3)/C3)</f>
        <v>0.65193749999999995</v>
      </c>
      <c r="O3" s="13" t="s">
        <v>1</v>
      </c>
      <c r="P3" t="s">
        <v>60</v>
      </c>
      <c r="Q3" s="13" t="s">
        <v>4</v>
      </c>
      <c r="R3" s="16"/>
      <c r="S3" s="18" t="s">
        <v>65</v>
      </c>
      <c r="T3" s="18" t="s">
        <v>64</v>
      </c>
      <c r="U3" s="18" t="s">
        <v>63</v>
      </c>
      <c r="V3" s="12"/>
      <c r="W3" s="12"/>
      <c r="X3">
        <f>(-1.773*J3)+(0.607*C3)+(0.76*D3)+(-1.5*F3)+(0.616*I3)+(0.509*H3)+(-1.224*E3)+(-9.09)</f>
        <v>-0.29697900000000033</v>
      </c>
      <c r="Y3">
        <f>(0.445*J3)+(0.07*C3)+(-0.25*D3)+(-1.142*F3)+(0.438*I3)+(1.475*H3)+(-1.426*E3)+(-6.861)</f>
        <v>-8.6634649999999986</v>
      </c>
      <c r="AA3">
        <f>(-0.0447*B3)+(-0.972*J3)+(0.008*C3)+(-0.267*D3)+(3.082*K3)+(0.14*F3)+(0.195*I3)+(0.719*H3)+(0.031*E3)+(7.51*G3)</f>
        <v>-0.40838399999999986</v>
      </c>
      <c r="AB3">
        <f>(-0.0421*B3)+(1.988*J3)+(-0.526*C3)+(-0.551*D3)+(2.72*K3)+(0.881*F3)+(-0.907*I3)+(-0.177*H3)+(-1.84*E3)+(7.244*G3)</f>
        <v>-14.221962000000003</v>
      </c>
      <c r="AD3">
        <f>(-0.395*LN(B3))+(0.206*LN(J3))-(0.316*(C3))+(0.16*LN(D3))+(0.246*LN(F3))+(0.368*LN(I3))+(0.073*LN(H3))-(0.342*LN(E3))+(2.266)</f>
        <v>-4.6940403522410161</v>
      </c>
      <c r="AE3">
        <f>(0.191*LN(B3))-(0.397*LN(J3))+(0.02*(C3))-(0.375*LN(D3))-(0.243*LN(F3))+(0.079*LN(I3))+(0.392*LN(H3))+(0.333*LN(E3))-(0.892)</f>
        <v>0.35846450789495765</v>
      </c>
      <c r="AF3">
        <f>(0.203*LN(B3))+(0.191*LN(J3))+(0.296*(C3))+(0.215*LN(D3))-(0.002*LN(F3))-(0.448*LN(I3))-(0.464*LN(H3))+(0.008*LN(E3))-(1.374)</f>
        <v>4.3316006270117651</v>
      </c>
      <c r="AH3">
        <f>EXP(AD3)</f>
        <v>9.1496435911428333E-3</v>
      </c>
      <c r="AI3">
        <f>EXP(AE3)</f>
        <v>1.4311302374020298</v>
      </c>
      <c r="AJ3">
        <f>EXP(AF3)</f>
        <v>76.065942382476052</v>
      </c>
      <c r="AK3" s="12">
        <f>SUM(AH3:AJ3)</f>
        <v>77.506222263469226</v>
      </c>
      <c r="AL3" s="14">
        <f>AH3/AK3</f>
        <v>1.1805043935750313E-4</v>
      </c>
      <c r="AM3" s="14">
        <f>AI3/AK3</f>
        <v>1.8464714130139719E-2</v>
      </c>
      <c r="AN3" s="14">
        <f>AJ3/AK3</f>
        <v>0.98141723543050274</v>
      </c>
      <c r="AO3" s="12"/>
      <c r="AP3">
        <f>(-0.263*LN(J3/B3))+(0.604*LN(C3/B3))+(-1.725*LN(D3/B3))+(0.66*LN(K3/B3))+(2.191*LN(F3/B3))+(0.144*LN(I3/B3))+(-1.304*LN(H3/B3))+(0.054*LN(E3/B3))+(-0.33*LN(G3/B3))+1.588</f>
        <v>0.83279399480105054</v>
      </c>
      <c r="AQ3">
        <f>(-1.196*LN(J3/B3))+(1.064*LN(C3/B3))+(-0.303*LN(D3/B3))+(0.436*LN(K3/B3))+(0.838*LN(F3/B3))+(-0.407*LN(I3/B3))+(1.021*LN(H3/B3))+(-1.706*LN(E3/B3))+(-0.126*LN(G3/B3))-1.068</f>
        <v>3.3138509737659461</v>
      </c>
      <c r="AS3">
        <f>(0.608*LN(J3/B3))+(-1.854*LN(C3/B3))+(0.299*LN(D3/B3))+(-0.55*LN(K3/B3))+(0.12*LN(F3/B3))+(0.194*LN(I3/B3))+(-1.51*LN(H3/B3))+(1.941*LN(E3/B3))+(0.003*LN(G3/B3))-0.294</f>
        <v>-1.0190991490523285</v>
      </c>
      <c r="AT3">
        <f>(-0.554*LN(J3/B3))+(-0.995*LN(C3/B3))+(0.299*LN(D3/B3))+(-1.391*LN(K3/B3))+(-1.034*LN(F3/B3))+(0.255*LN(I3/B3))+(0.713*LN(H3/B3))+(0.33*LN(E3/B3))+(0.637*LN(G3/B3))-3.631</f>
        <v>2.1579462356996264</v>
      </c>
    </row>
    <row r="4" spans="1:46" ht="20.100000000000001" customHeight="1" x14ac:dyDescent="0.25">
      <c r="A4" s="4" t="s">
        <v>10</v>
      </c>
      <c r="B4" s="6">
        <v>70.2</v>
      </c>
      <c r="C4" s="6">
        <v>21.7</v>
      </c>
      <c r="D4" s="3">
        <v>3.86</v>
      </c>
      <c r="E4" s="3">
        <v>2.12</v>
      </c>
      <c r="F4" s="3">
        <v>1.04</v>
      </c>
      <c r="G4" s="3">
        <v>0.13200000000000001</v>
      </c>
      <c r="H4" s="3">
        <v>1.5</v>
      </c>
      <c r="I4" s="3">
        <v>0.47799999999999998</v>
      </c>
      <c r="J4" s="3">
        <v>0.63300000000000001</v>
      </c>
      <c r="K4" s="3">
        <v>4.3099999999999999E-2</v>
      </c>
      <c r="L4" s="8">
        <f t="shared" ref="L4:L26" si="0">(C4/(C4+I4+H4+E4))*100</f>
        <v>84.115047678114578</v>
      </c>
      <c r="M4">
        <f t="shared" ref="M4:M26" si="1">((D4+E4+H4+I4+F4+K4)/C4)</f>
        <v>0.41664055299539182</v>
      </c>
      <c r="O4" s="6">
        <v>16</v>
      </c>
      <c r="P4" s="15">
        <f>I3+H3</f>
        <v>2.2400000000000002</v>
      </c>
      <c r="Q4" s="3">
        <v>2.2000000000000002</v>
      </c>
      <c r="R4" s="17">
        <f>SUM(O4:Q4)</f>
        <v>20.440000000000001</v>
      </c>
      <c r="S4" s="18">
        <f>O4/R4*100</f>
        <v>78.277886497064571</v>
      </c>
      <c r="T4" s="18">
        <f>P4/R4*100</f>
        <v>10.958904109589042</v>
      </c>
      <c r="U4" s="19">
        <f>Q4/R4*100</f>
        <v>10.763209393346381</v>
      </c>
      <c r="V4" s="15">
        <f>SUM(S4:U4)</f>
        <v>100</v>
      </c>
      <c r="X4">
        <f t="shared" ref="X4:X26" si="2">(-1.773*J4)+(0.607*C4)+(0.76*D4)+(-1.5*F4)+(0.616*I4)+(0.509*H4)+(-1.224*E4)+(-9.09)</f>
        <v>2.7962589999999992</v>
      </c>
      <c r="Y4">
        <f t="shared" ref="Y4:Y26" si="3">(0.445*J4)+(0.07*C4)+(-0.25*D4)+(-1.142*F4)+(0.438*I4)+(1.475*H4)+(-1.426*E4)+(-6.861)</f>
        <v>-7.8142509999999987</v>
      </c>
      <c r="AA4">
        <f t="shared" ref="AA4:AA26" si="4">(-0.0447*B4)+(-0.972*J4)+(0.008*C4)+(-0.267*D4)+(3.082*K4)+(0.14*F4)+(0.195*I4)+(0.719*H4)+(0.031*E4)+(7.51*G4)</f>
        <v>-2.1030518000000011</v>
      </c>
      <c r="AB4">
        <f t="shared" ref="AB4:AB26" si="5">(-0.0421*B4)+(1.988*J4)+(-0.526*C4)+(-0.551*D4)+(2.72*K4)+(0.881*F4)+(-0.907*I4)+(-0.177*H4)+(-1.84*E4)+(7.244*G4)</f>
        <v>-17.848242000000003</v>
      </c>
      <c r="AD4">
        <f t="shared" ref="AD4:AD26" si="6">(-0.395*LN(B4))+(0.206*LN(J4))-(0.316*(C4))+(0.16*LN(D4))+(0.246*LN(F4))+(0.368*LN(I4))+(0.073*LN(H4))-(0.342*LN(E4))+(2.266)</f>
        <v>-6.6379507611207593</v>
      </c>
      <c r="AE4">
        <f t="shared" ref="AE4:AE26" si="7">(0.191*LN(B4))-(0.397*LN(J4))+(0.02*(C4))-(0.375*LN(D4))-(0.243*LN(F4))+(0.079*LN(I4))+(0.392*LN(H4))+(0.333*LN(E4))-(0.892)</f>
        <v>0.37036924920909542</v>
      </c>
      <c r="AF4">
        <f t="shared" ref="AF4:AF26" si="8">(0.203*LN(B4))+(0.191*LN(J4))+(0.296*(C4))+(0.215*LN(D4))-(0.002*LN(F4))-(0.448*LN(I4))-(0.464*LN(H4))+(0.008*LN(E4))-(1.374)</f>
        <v>6.2637615778796985</v>
      </c>
      <c r="AH4">
        <f t="shared" ref="AH4:AH26" si="9">EXP(AD4)</f>
        <v>1.3097084011082785E-3</v>
      </c>
      <c r="AI4">
        <f t="shared" ref="AI4:AI26" si="10">EXP(AE4)</f>
        <v>1.4482692882325903</v>
      </c>
      <c r="AJ4">
        <f t="shared" ref="AJ4:AJ26" si="11">EXP(AF4)</f>
        <v>525.19077517991047</v>
      </c>
      <c r="AK4" s="12">
        <f t="shared" ref="AK4:AK26" si="12">SUM(AH4:AJ4)</f>
        <v>526.64035417654418</v>
      </c>
      <c r="AL4" s="14">
        <f t="shared" ref="AL4:AL26" si="13">AH4/AK4</f>
        <v>2.4869123505663385E-6</v>
      </c>
      <c r="AM4" s="14">
        <f t="shared" ref="AM4:AM26" si="14">AI4/AK4</f>
        <v>2.7500157873338567E-3</v>
      </c>
      <c r="AN4" s="14">
        <f t="shared" ref="AN4:AN26" si="15">AJ4/AK4</f>
        <v>0.99724749730031559</v>
      </c>
      <c r="AP4">
        <f t="shared" ref="AP4:AP26" si="16">(-0.263*LN(J4/B4))+(0.604*LN(C4/B4))+(-1.725*LN(D4/B4))+(0.66*LN(K4/B4))+(2.191*LN(F4/B4))+(0.144*LN(I4/B4))+(-1.304*LN(H4/B4))+(0.054*LN(E4/B4))+(-0.33*LN(G4/B4))+1.588</f>
        <v>-0.8101991292060795</v>
      </c>
      <c r="AQ4">
        <f t="shared" ref="AQ4:AQ26" si="17">(-1.196*LN(J4/B4))+(1.064*LN(C4/B4))+(-0.303*LN(D4/B4))+(0.436*LN(K4/B4))+(0.838*LN(F4/B4))+(-0.407*LN(I4/B4))+(1.021*LN(H4/B4))+(-1.706*LN(E4/B4))+(-0.126*LN(G4/B4))-1.068</f>
        <v>2.3047964514244805</v>
      </c>
      <c r="AS4">
        <f t="shared" ref="AS4:AS26" si="18">(0.608*LN(J4/B4))+(-1.854*LN(C4/B4))+(0.299*LN(D4/B4))+(-0.55*LN(K4/B4))+(0.12*LN(F4/B4))+(0.194*LN(I4/B4))+(-1.51*LN(H4/B4))+(1.941*LN(E4/B4))+(0.003*LN(G4/B4))-0.294</f>
        <v>-0.25825109777617694</v>
      </c>
      <c r="AT4">
        <f t="shared" ref="AT4:AT26" si="19">(-0.554*LN(J4/B4))+(-0.995*LN(C4/B4))+(0.299*LN(D4/B4))+(-1.391*LN(K4/B4))+(-1.034*LN(F4/B4))+(0.255*LN(I4/B4))+(0.713*LN(H4/B4))+(0.33*LN(E4/B4))+(0.637*LN(G4/B4))-3.631</f>
        <v>4.753620331151021</v>
      </c>
    </row>
    <row r="5" spans="1:46" ht="20.100000000000001" customHeight="1" x14ac:dyDescent="0.25">
      <c r="A5" s="4" t="s">
        <v>11</v>
      </c>
      <c r="B5" s="6">
        <v>71.900000000000006</v>
      </c>
      <c r="C5" s="6">
        <v>15.6</v>
      </c>
      <c r="D5" s="3">
        <v>4.4400000000000004</v>
      </c>
      <c r="E5" s="3">
        <v>2.58</v>
      </c>
      <c r="F5" s="3">
        <v>1.44</v>
      </c>
      <c r="G5" s="3">
        <v>0.159</v>
      </c>
      <c r="H5" s="3">
        <v>1.62</v>
      </c>
      <c r="I5" s="3">
        <v>0.88300000000000001</v>
      </c>
      <c r="J5" s="3">
        <v>0.64400000000000002</v>
      </c>
      <c r="K5" s="3">
        <v>7.0900000000000005E-2</v>
      </c>
      <c r="L5" s="8">
        <f t="shared" si="0"/>
        <v>75.424261470773104</v>
      </c>
      <c r="M5">
        <f t="shared" si="1"/>
        <v>0.70730128205128207</v>
      </c>
      <c r="O5" s="6">
        <v>21.7</v>
      </c>
      <c r="P5" s="15">
        <f t="shared" ref="P5:P27" si="20">I4+H4</f>
        <v>1.978</v>
      </c>
      <c r="Q5" s="3">
        <v>2.12</v>
      </c>
      <c r="R5" s="17">
        <f>SUM(O5:Q5)</f>
        <v>25.798000000000002</v>
      </c>
      <c r="S5" s="18">
        <f t="shared" ref="S5:S27" si="21">O5/R5*100</f>
        <v>84.115047678114578</v>
      </c>
      <c r="T5" s="18">
        <f t="shared" ref="T5:T27" si="22">P5/R5*100</f>
        <v>7.6672610279866644</v>
      </c>
      <c r="U5" s="19">
        <f t="shared" ref="U5:U27" si="23">Q5/R5*100</f>
        <v>8.217691293898751</v>
      </c>
      <c r="V5" s="15">
        <f t="shared" ref="V5:V27" si="24">SUM(S5:U5)</f>
        <v>100</v>
      </c>
      <c r="X5">
        <f t="shared" si="2"/>
        <v>-1.3376240000000008</v>
      </c>
      <c r="Y5">
        <f t="shared" si="3"/>
        <v>-9.1397259999999996</v>
      </c>
      <c r="AA5">
        <f t="shared" si="4"/>
        <v>-1.8694291999999997</v>
      </c>
      <c r="AB5">
        <f t="shared" si="5"/>
        <v>-15.620295000000002</v>
      </c>
      <c r="AD5">
        <f t="shared" si="6"/>
        <v>-4.4494960026699042</v>
      </c>
      <c r="AE5">
        <f t="shared" si="7"/>
        <v>0.258571494443676</v>
      </c>
      <c r="AF5">
        <f t="shared" si="8"/>
        <v>4.186672941903776</v>
      </c>
      <c r="AH5">
        <f t="shared" si="9"/>
        <v>1.1684454420472806E-2</v>
      </c>
      <c r="AI5">
        <f t="shared" si="10"/>
        <v>1.2950787374769337</v>
      </c>
      <c r="AJ5">
        <f t="shared" si="11"/>
        <v>65.803494307850087</v>
      </c>
      <c r="AK5" s="12">
        <f t="shared" si="12"/>
        <v>67.11025749974749</v>
      </c>
      <c r="AL5" s="14">
        <f t="shared" si="13"/>
        <v>1.7410832346332109E-4</v>
      </c>
      <c r="AM5" s="14">
        <f t="shared" si="14"/>
        <v>1.9297776312090689E-2</v>
      </c>
      <c r="AN5" s="14">
        <f t="shared" si="15"/>
        <v>0.98052811536444606</v>
      </c>
      <c r="AP5">
        <f t="shared" si="16"/>
        <v>-0.27757294110463704</v>
      </c>
      <c r="AQ5">
        <f t="shared" si="17"/>
        <v>1.8597355162214391</v>
      </c>
      <c r="AS5">
        <f t="shared" si="18"/>
        <v>0.5737565098181665</v>
      </c>
      <c r="AT5">
        <f t="shared" si="19"/>
        <v>4.5218251105301164</v>
      </c>
    </row>
    <row r="6" spans="1:46" ht="20.100000000000001" customHeight="1" x14ac:dyDescent="0.25">
      <c r="A6" s="4" t="s">
        <v>12</v>
      </c>
      <c r="B6" s="6">
        <v>73</v>
      </c>
      <c r="C6" s="6">
        <v>20.2</v>
      </c>
      <c r="D6" s="3">
        <v>2.5</v>
      </c>
      <c r="E6" s="3">
        <v>1.28</v>
      </c>
      <c r="F6" s="3">
        <v>1.58</v>
      </c>
      <c r="G6" s="3">
        <v>0.13300000000000001</v>
      </c>
      <c r="H6" s="3">
        <v>1.2</v>
      </c>
      <c r="I6" s="3">
        <v>0.3</v>
      </c>
      <c r="J6" s="3">
        <v>0.38400000000000001</v>
      </c>
      <c r="K6" s="3">
        <v>2.3199999999999998E-2</v>
      </c>
      <c r="L6" s="8">
        <f t="shared" si="0"/>
        <v>87.90252393385552</v>
      </c>
      <c r="M6">
        <f t="shared" si="1"/>
        <v>0.34075247524752478</v>
      </c>
      <c r="O6" s="6">
        <v>15.6</v>
      </c>
      <c r="P6" s="15">
        <f t="shared" si="20"/>
        <v>2.5030000000000001</v>
      </c>
      <c r="Q6" s="3">
        <v>2.58</v>
      </c>
      <c r="R6" s="17">
        <f t="shared" ref="R6:R27" si="25">SUM(O6:Q6)</f>
        <v>20.683</v>
      </c>
      <c r="S6" s="18">
        <f t="shared" si="21"/>
        <v>75.424261470773104</v>
      </c>
      <c r="T6" s="18">
        <f t="shared" si="22"/>
        <v>12.101726055214428</v>
      </c>
      <c r="U6" s="19">
        <f t="shared" si="23"/>
        <v>12.474012474012476</v>
      </c>
      <c r="V6" s="15">
        <f t="shared" si="24"/>
        <v>100</v>
      </c>
      <c r="X6">
        <f t="shared" si="2"/>
        <v>1.2494479999999992</v>
      </c>
      <c r="Y6">
        <f t="shared" si="3"/>
        <v>-7.6293600000000001</v>
      </c>
      <c r="AA6">
        <f t="shared" si="4"/>
        <v>-1.8897356000000003</v>
      </c>
      <c r="AB6">
        <f t="shared" si="5"/>
        <v>-14.733772</v>
      </c>
      <c r="AD6">
        <f t="shared" si="6"/>
        <v>-6.2641423364180024</v>
      </c>
      <c r="AE6">
        <f t="shared" si="7"/>
        <v>0.31524884802734798</v>
      </c>
      <c r="AF6">
        <f t="shared" si="8"/>
        <v>5.9461998880797324</v>
      </c>
      <c r="AH6">
        <f t="shared" si="9"/>
        <v>1.9033451484341043E-3</v>
      </c>
      <c r="AI6">
        <f t="shared" si="10"/>
        <v>1.3706003397138904</v>
      </c>
      <c r="AJ6">
        <f t="shared" si="11"/>
        <v>382.29780077869242</v>
      </c>
      <c r="AK6" s="12">
        <f t="shared" si="12"/>
        <v>383.67030446355477</v>
      </c>
      <c r="AL6" s="14">
        <f t="shared" si="13"/>
        <v>4.9608873198965671E-6</v>
      </c>
      <c r="AM6" s="14">
        <f t="shared" si="14"/>
        <v>3.5723388643023979E-3</v>
      </c>
      <c r="AN6" s="14">
        <f t="shared" si="15"/>
        <v>0.99642270024837765</v>
      </c>
      <c r="AP6">
        <f t="shared" si="16"/>
        <v>0.72774212467977506</v>
      </c>
      <c r="AQ6">
        <f t="shared" si="17"/>
        <v>3.8748093848696841</v>
      </c>
      <c r="AS6">
        <f t="shared" si="18"/>
        <v>-0.87183548613835171</v>
      </c>
      <c r="AT6">
        <f t="shared" si="19"/>
        <v>5.0295094096328015</v>
      </c>
    </row>
    <row r="7" spans="1:46" ht="20.100000000000001" customHeight="1" x14ac:dyDescent="0.25">
      <c r="A7" s="4" t="s">
        <v>13</v>
      </c>
      <c r="B7" s="6">
        <v>73.099999999999994</v>
      </c>
      <c r="C7" s="6">
        <v>24.8</v>
      </c>
      <c r="D7" s="3">
        <v>0.58699999999999997</v>
      </c>
      <c r="E7" s="3">
        <v>0.33400000000000002</v>
      </c>
      <c r="F7" s="3">
        <v>0.9</v>
      </c>
      <c r="G7" s="3">
        <v>9.0499999999999997E-2</v>
      </c>
      <c r="H7" s="3">
        <v>0.12</v>
      </c>
      <c r="I7" s="3">
        <v>0.31669999999999998</v>
      </c>
      <c r="J7" s="3">
        <v>0.115</v>
      </c>
      <c r="K7" s="3">
        <v>4.4000000000000003E-3</v>
      </c>
      <c r="L7" s="8">
        <f t="shared" si="0"/>
        <v>96.986003511831896</v>
      </c>
      <c r="M7">
        <f t="shared" si="1"/>
        <v>9.1213709677419347E-2</v>
      </c>
      <c r="O7" s="6">
        <v>20.2</v>
      </c>
      <c r="P7" s="15">
        <f t="shared" si="20"/>
        <v>1.5</v>
      </c>
      <c r="Q7" s="3">
        <v>1.28</v>
      </c>
      <c r="R7" s="17">
        <f t="shared" si="25"/>
        <v>22.98</v>
      </c>
      <c r="S7" s="18">
        <f t="shared" si="21"/>
        <v>87.90252393385552</v>
      </c>
      <c r="T7" s="18">
        <f t="shared" si="22"/>
        <v>6.5274151436031325</v>
      </c>
      <c r="U7" s="19">
        <f t="shared" si="23"/>
        <v>5.57006092254134</v>
      </c>
      <c r="V7" s="15">
        <f t="shared" si="24"/>
        <v>100</v>
      </c>
      <c r="X7">
        <f t="shared" si="2"/>
        <v>4.7031762000000015</v>
      </c>
      <c r="Y7">
        <f t="shared" si="3"/>
        <v>-6.4089443999999993</v>
      </c>
      <c r="AA7">
        <f t="shared" si="4"/>
        <v>-2.3600726999999999</v>
      </c>
      <c r="AB7">
        <f t="shared" si="5"/>
        <v>-15.679723899999997</v>
      </c>
      <c r="AD7">
        <f t="shared" si="6"/>
        <v>-8.0256330063022432</v>
      </c>
      <c r="AE7">
        <f t="shared" si="7"/>
        <v>0.22060644719384837</v>
      </c>
      <c r="AF7">
        <f t="shared" si="8"/>
        <v>7.8007555213012214</v>
      </c>
      <c r="AH7">
        <f t="shared" si="9"/>
        <v>3.2697298462609238E-4</v>
      </c>
      <c r="AI7">
        <f t="shared" si="10"/>
        <v>1.2468326395102205</v>
      </c>
      <c r="AJ7">
        <f t="shared" si="11"/>
        <v>2442.4466011448339</v>
      </c>
      <c r="AK7" s="12">
        <f t="shared" si="12"/>
        <v>2443.6937607573286</v>
      </c>
      <c r="AL7" s="14">
        <f t="shared" si="13"/>
        <v>1.3380276607358514E-7</v>
      </c>
      <c r="AM7" s="14">
        <f t="shared" si="14"/>
        <v>5.1022458686632354E-4</v>
      </c>
      <c r="AN7" s="14">
        <f t="shared" si="15"/>
        <v>0.99948964161036769</v>
      </c>
      <c r="AP7">
        <f t="shared" si="16"/>
        <v>4.402810065103564</v>
      </c>
      <c r="AQ7">
        <f t="shared" si="17"/>
        <v>4.7457072992045184</v>
      </c>
      <c r="AS7">
        <f t="shared" si="18"/>
        <v>-0.69206679398342286</v>
      </c>
      <c r="AT7">
        <f t="shared" si="19"/>
        <v>5.6404660347434508</v>
      </c>
    </row>
    <row r="8" spans="1:46" ht="20.100000000000001" customHeight="1" x14ac:dyDescent="0.25">
      <c r="A8" s="4" t="s">
        <v>14</v>
      </c>
      <c r="B8" s="6">
        <v>72.2</v>
      </c>
      <c r="C8" s="6">
        <v>19.5</v>
      </c>
      <c r="D8" s="3">
        <v>3.45</v>
      </c>
      <c r="E8" s="3">
        <v>1.95</v>
      </c>
      <c r="F8" s="3">
        <v>1.39</v>
      </c>
      <c r="G8" s="3">
        <v>0.185</v>
      </c>
      <c r="H8" s="3">
        <v>1.25</v>
      </c>
      <c r="I8" s="3">
        <v>0.51900000000000002</v>
      </c>
      <c r="J8" s="3">
        <v>0.54800000000000004</v>
      </c>
      <c r="K8" s="3">
        <v>0.104</v>
      </c>
      <c r="L8" s="8">
        <f t="shared" si="0"/>
        <v>83.982945001938077</v>
      </c>
      <c r="M8">
        <f t="shared" si="1"/>
        <v>0.44425641025641027</v>
      </c>
      <c r="O8" s="6">
        <v>24.8</v>
      </c>
      <c r="P8" s="15">
        <f t="shared" si="20"/>
        <v>0.43669999999999998</v>
      </c>
      <c r="Q8" s="3">
        <v>0.33400000000000002</v>
      </c>
      <c r="R8" s="17">
        <f t="shared" si="25"/>
        <v>25.570699999999999</v>
      </c>
      <c r="S8" s="18">
        <f t="shared" si="21"/>
        <v>96.98600351183191</v>
      </c>
      <c r="T8" s="18">
        <f t="shared" si="22"/>
        <v>1.7078140215168143</v>
      </c>
      <c r="U8" s="19">
        <f t="shared" si="23"/>
        <v>1.3061824666512847</v>
      </c>
      <c r="V8" s="15">
        <f t="shared" si="24"/>
        <v>100</v>
      </c>
      <c r="X8">
        <f t="shared" si="2"/>
        <v>0.88105000000000189</v>
      </c>
      <c r="Y8">
        <f t="shared" si="3"/>
        <v>-8.4116479999999996</v>
      </c>
      <c r="AA8">
        <f t="shared" si="4"/>
        <v>-1.560263</v>
      </c>
      <c r="AB8">
        <f t="shared" si="5"/>
        <v>-15.540518999999998</v>
      </c>
      <c r="AD8">
        <f t="shared" si="6"/>
        <v>-5.8845965775603606</v>
      </c>
      <c r="AE8">
        <f t="shared" si="7"/>
        <v>0.26779665132071562</v>
      </c>
      <c r="AF8">
        <f t="shared" si="8"/>
        <v>5.6130609555154436</v>
      </c>
      <c r="AH8">
        <f t="shared" si="9"/>
        <v>2.781968307415424E-3</v>
      </c>
      <c r="AI8">
        <f t="shared" si="10"/>
        <v>1.3070813197286659</v>
      </c>
      <c r="AJ8">
        <f t="shared" si="11"/>
        <v>273.98160127865231</v>
      </c>
      <c r="AK8" s="12">
        <f t="shared" si="12"/>
        <v>275.29146456668838</v>
      </c>
      <c r="AL8" s="14">
        <f t="shared" si="13"/>
        <v>1.0105537822592033E-5</v>
      </c>
      <c r="AM8" s="14">
        <f t="shared" si="14"/>
        <v>4.7479907224367655E-3</v>
      </c>
      <c r="AN8" s="14">
        <f t="shared" si="15"/>
        <v>0.99524190373974064</v>
      </c>
      <c r="AP8">
        <f t="shared" si="16"/>
        <v>0.70662821842718082</v>
      </c>
      <c r="AQ8">
        <f t="shared" si="17"/>
        <v>2.9157576232902565</v>
      </c>
      <c r="AS8">
        <f t="shared" si="18"/>
        <v>-0.47989422575848667</v>
      </c>
      <c r="AT8">
        <f t="shared" si="19"/>
        <v>3.5083663620710497</v>
      </c>
    </row>
    <row r="9" spans="1:46" ht="20.100000000000001" customHeight="1" x14ac:dyDescent="0.25">
      <c r="A9" s="4" t="s">
        <v>15</v>
      </c>
      <c r="B9" s="6">
        <v>71.2</v>
      </c>
      <c r="C9" s="6">
        <v>19.2</v>
      </c>
      <c r="D9" s="3">
        <v>3.71</v>
      </c>
      <c r="E9" s="3">
        <v>2.38</v>
      </c>
      <c r="F9" s="3">
        <v>1.32</v>
      </c>
      <c r="G9" s="3">
        <v>0.216</v>
      </c>
      <c r="H9" s="3">
        <v>1.45</v>
      </c>
      <c r="I9" s="3">
        <v>1.03</v>
      </c>
      <c r="J9" s="3">
        <v>0.65</v>
      </c>
      <c r="K9" s="3">
        <v>6.2899999999999998E-2</v>
      </c>
      <c r="L9" s="8">
        <f t="shared" si="0"/>
        <v>79.800498753117211</v>
      </c>
      <c r="M9">
        <f t="shared" si="1"/>
        <v>0.51838020833333343</v>
      </c>
      <c r="O9" s="6">
        <v>19.5</v>
      </c>
      <c r="P9" s="15">
        <f t="shared" si="20"/>
        <v>1.7690000000000001</v>
      </c>
      <c r="Q9" s="3">
        <v>1.95</v>
      </c>
      <c r="R9" s="17">
        <f t="shared" si="25"/>
        <v>23.218999999999998</v>
      </c>
      <c r="S9" s="18">
        <f t="shared" si="21"/>
        <v>83.982945001938077</v>
      </c>
      <c r="T9" s="18">
        <f t="shared" si="22"/>
        <v>7.6187604978681271</v>
      </c>
      <c r="U9" s="19">
        <f t="shared" si="23"/>
        <v>8.3982945001938081</v>
      </c>
      <c r="V9" s="15">
        <f t="shared" si="24"/>
        <v>100.00000000000001</v>
      </c>
      <c r="X9">
        <f t="shared" si="2"/>
        <v>0.71095999999999826</v>
      </c>
      <c r="Y9">
        <f t="shared" si="3"/>
        <v>-8.4666800000000002</v>
      </c>
      <c r="AA9">
        <f t="shared" si="4"/>
        <v>-1.3334122000000002</v>
      </c>
      <c r="AB9">
        <f t="shared" si="5"/>
        <v>-16.520078000000002</v>
      </c>
      <c r="AD9">
        <f t="shared" si="6"/>
        <v>-5.5552950244711141</v>
      </c>
      <c r="AE9">
        <f t="shared" si="7"/>
        <v>0.3553610021780752</v>
      </c>
      <c r="AF9">
        <f t="shared" si="8"/>
        <v>5.195421065477726</v>
      </c>
      <c r="AH9">
        <f t="shared" si="9"/>
        <v>3.8669274630529623E-3</v>
      </c>
      <c r="AI9">
        <f t="shared" si="10"/>
        <v>1.4266956015469543</v>
      </c>
      <c r="AJ9">
        <f t="shared" si="11"/>
        <v>180.44410558675497</v>
      </c>
      <c r="AK9" s="12">
        <f t="shared" si="12"/>
        <v>181.87466811576499</v>
      </c>
      <c r="AL9" s="14">
        <f t="shared" si="13"/>
        <v>2.126149563935768E-5</v>
      </c>
      <c r="AM9" s="14">
        <f t="shared" si="14"/>
        <v>7.8443887558813236E-3</v>
      </c>
      <c r="AN9" s="14">
        <f t="shared" si="15"/>
        <v>0.99213434974847925</v>
      </c>
      <c r="AP9">
        <f t="shared" si="16"/>
        <v>-5.2827046467734284E-2</v>
      </c>
      <c r="AQ9">
        <f t="shared" si="17"/>
        <v>1.9183628575132867</v>
      </c>
      <c r="AS9">
        <f t="shared" si="18"/>
        <v>0.23038185698627173</v>
      </c>
      <c r="AT9">
        <f t="shared" si="19"/>
        <v>4.6246174109656337</v>
      </c>
    </row>
    <row r="10" spans="1:46" ht="20.100000000000001" customHeight="1" x14ac:dyDescent="0.25">
      <c r="A10" s="4" t="s">
        <v>16</v>
      </c>
      <c r="B10" s="6">
        <v>70.599999999999994</v>
      </c>
      <c r="C10" s="6">
        <v>22.2</v>
      </c>
      <c r="D10" s="3">
        <v>2.75</v>
      </c>
      <c r="E10" s="3">
        <v>1.45</v>
      </c>
      <c r="F10" s="3">
        <v>1.75</v>
      </c>
      <c r="G10" s="3">
        <v>0.14399999999999999</v>
      </c>
      <c r="H10" s="3">
        <v>1.2</v>
      </c>
      <c r="I10" s="3">
        <v>0.505</v>
      </c>
      <c r="J10" s="3">
        <v>0.41699999999999998</v>
      </c>
      <c r="K10" s="3">
        <v>2.2800000000000001E-2</v>
      </c>
      <c r="L10" s="8">
        <f t="shared" si="0"/>
        <v>87.556694931966092</v>
      </c>
      <c r="M10">
        <f t="shared" si="1"/>
        <v>0.34584684684684686</v>
      </c>
      <c r="O10" s="6">
        <v>19.2</v>
      </c>
      <c r="P10" s="15">
        <f t="shared" si="20"/>
        <v>2.48</v>
      </c>
      <c r="Q10" s="3">
        <v>2.38</v>
      </c>
      <c r="R10" s="17">
        <f t="shared" si="25"/>
        <v>24.06</v>
      </c>
      <c r="S10" s="18">
        <f t="shared" si="21"/>
        <v>79.800498753117211</v>
      </c>
      <c r="T10" s="18">
        <f t="shared" si="22"/>
        <v>10.30756442227764</v>
      </c>
      <c r="U10" s="19">
        <f t="shared" si="23"/>
        <v>9.8919368246051533</v>
      </c>
      <c r="V10" s="15">
        <f t="shared" si="24"/>
        <v>100</v>
      </c>
      <c r="X10">
        <f t="shared" si="2"/>
        <v>2.2581389999999999</v>
      </c>
      <c r="Y10">
        <f t="shared" si="3"/>
        <v>-7.8839449999999998</v>
      </c>
      <c r="AA10">
        <f t="shared" si="4"/>
        <v>-1.7148593999999993</v>
      </c>
      <c r="AB10">
        <f t="shared" si="5"/>
        <v>-16.027247000000003</v>
      </c>
      <c r="AD10">
        <f t="shared" si="6"/>
        <v>-6.6765688065023223</v>
      </c>
      <c r="AE10">
        <f t="shared" si="7"/>
        <v>0.33822755838180452</v>
      </c>
      <c r="AF10">
        <f t="shared" si="8"/>
        <v>6.3351377886140234</v>
      </c>
      <c r="AH10">
        <f t="shared" si="9"/>
        <v>1.2600941904310943E-3</v>
      </c>
      <c r="AI10">
        <f t="shared" si="10"/>
        <v>1.4024596085354846</v>
      </c>
      <c r="AJ10">
        <f t="shared" si="11"/>
        <v>564.04711690138163</v>
      </c>
      <c r="AK10" s="12">
        <f t="shared" si="12"/>
        <v>565.45083660410751</v>
      </c>
      <c r="AL10" s="14">
        <f t="shared" si="13"/>
        <v>2.2284770113680664E-6</v>
      </c>
      <c r="AM10" s="14">
        <f t="shared" si="14"/>
        <v>2.4802503024987069E-3</v>
      </c>
      <c r="AN10" s="14">
        <f t="shared" si="15"/>
        <v>0.99751752122048998</v>
      </c>
      <c r="AP10">
        <f t="shared" si="16"/>
        <v>0.86763348720326672</v>
      </c>
      <c r="AQ10">
        <f t="shared" si="17"/>
        <v>3.4784507480653732</v>
      </c>
      <c r="AS10">
        <f t="shared" si="18"/>
        <v>-0.62813933881649531</v>
      </c>
      <c r="AT10">
        <f t="shared" si="19"/>
        <v>5.0033239231440785</v>
      </c>
    </row>
    <row r="11" spans="1:46" ht="20.100000000000001" customHeight="1" x14ac:dyDescent="0.25">
      <c r="A11" s="4" t="s">
        <v>17</v>
      </c>
      <c r="B11" s="6">
        <v>73.400000000000006</v>
      </c>
      <c r="C11" s="6">
        <v>22.1</v>
      </c>
      <c r="D11" s="3">
        <v>4.2569999999999997</v>
      </c>
      <c r="E11" s="3">
        <v>0.65900000000000003</v>
      </c>
      <c r="F11" s="3">
        <v>0.70099999999999996</v>
      </c>
      <c r="G11" s="3">
        <v>9.7100000000000006E-2</v>
      </c>
      <c r="H11" s="3">
        <v>0.55000000000000004</v>
      </c>
      <c r="I11" s="3">
        <v>0.12</v>
      </c>
      <c r="J11" s="3">
        <v>7.8600000000000003E-2</v>
      </c>
      <c r="K11" s="3">
        <f>AVERAGE(K3:K10)</f>
        <v>9.2787499999999981E-2</v>
      </c>
      <c r="L11" s="8">
        <f t="shared" si="0"/>
        <v>94.327542788851432</v>
      </c>
      <c r="M11">
        <f t="shared" si="1"/>
        <v>0.28867816742081442</v>
      </c>
      <c r="O11" s="6">
        <v>22.2</v>
      </c>
      <c r="P11" s="15">
        <f t="shared" si="20"/>
        <v>1.7050000000000001</v>
      </c>
      <c r="Q11" s="3">
        <v>1.45</v>
      </c>
      <c r="R11" s="17">
        <f t="shared" si="25"/>
        <v>25.355</v>
      </c>
      <c r="S11" s="18">
        <f t="shared" si="21"/>
        <v>87.556694931966078</v>
      </c>
      <c r="T11" s="18">
        <f t="shared" si="22"/>
        <v>6.7245119305856829</v>
      </c>
      <c r="U11" s="19">
        <f t="shared" si="23"/>
        <v>5.7187931374482348</v>
      </c>
      <c r="V11" s="15">
        <f t="shared" si="24"/>
        <v>99.999999999999986</v>
      </c>
      <c r="X11">
        <f t="shared" si="2"/>
        <v>5.9164161999999969</v>
      </c>
      <c r="Y11">
        <f t="shared" si="3"/>
        <v>-7.2197389999999988</v>
      </c>
      <c r="AA11">
        <f t="shared" si="4"/>
        <v>-2.7645871250000003</v>
      </c>
      <c r="AB11">
        <f t="shared" si="5"/>
        <v>-16.749484800000001</v>
      </c>
      <c r="AD11">
        <f t="shared" si="6"/>
        <v>-7.4753217062452588</v>
      </c>
      <c r="AE11">
        <f t="shared" si="7"/>
        <v>0.38263361689193076</v>
      </c>
      <c r="AF11">
        <f t="shared" si="8"/>
        <v>7.0899763763056836</v>
      </c>
      <c r="AH11">
        <f t="shared" si="9"/>
        <v>5.6690336194735534E-4</v>
      </c>
      <c r="AI11">
        <f t="shared" si="10"/>
        <v>1.4661407624421066</v>
      </c>
      <c r="AJ11">
        <f t="shared" si="11"/>
        <v>1199.8794546905706</v>
      </c>
      <c r="AK11" s="12">
        <f t="shared" si="12"/>
        <v>1201.3461623563746</v>
      </c>
      <c r="AL11" s="14">
        <f t="shared" si="13"/>
        <v>4.7189010104748284E-7</v>
      </c>
      <c r="AM11" s="14">
        <f t="shared" si="14"/>
        <v>1.2204149048650156E-3</v>
      </c>
      <c r="AN11" s="14">
        <f t="shared" si="15"/>
        <v>0.99877911320503399</v>
      </c>
      <c r="AP11">
        <f t="shared" si="16"/>
        <v>0.36853775946971723</v>
      </c>
      <c r="AQ11">
        <f t="shared" si="17"/>
        <v>6.3804043839588935</v>
      </c>
      <c r="AS11">
        <f t="shared" si="18"/>
        <v>-2.9888979924862165</v>
      </c>
      <c r="AT11">
        <f t="shared" si="19"/>
        <v>3.6902744546479807</v>
      </c>
    </row>
    <row r="12" spans="1:46" ht="20.100000000000001" customHeight="1" x14ac:dyDescent="0.25">
      <c r="A12" s="4" t="s">
        <v>18</v>
      </c>
      <c r="B12" s="6">
        <v>72.599999999999994</v>
      </c>
      <c r="C12" s="6">
        <v>18.100000000000001</v>
      </c>
      <c r="D12" s="3">
        <v>3.91</v>
      </c>
      <c r="E12" s="3">
        <v>2.2200000000000002</v>
      </c>
      <c r="F12" s="3">
        <v>1.04</v>
      </c>
      <c r="G12" s="3">
        <v>0.14799999999999999</v>
      </c>
      <c r="H12" s="3">
        <v>1.34</v>
      </c>
      <c r="I12" s="3">
        <v>0.41599999999999998</v>
      </c>
      <c r="J12" s="3">
        <v>0.67600000000000005</v>
      </c>
      <c r="K12" s="3">
        <v>6.9199999999999998E-2</v>
      </c>
      <c r="L12" s="8">
        <f t="shared" si="0"/>
        <v>81.989490849791636</v>
      </c>
      <c r="M12">
        <f t="shared" si="1"/>
        <v>0.49697237569060781</v>
      </c>
      <c r="O12" s="6">
        <v>22.1</v>
      </c>
      <c r="P12" s="15">
        <f t="shared" si="20"/>
        <v>0.67</v>
      </c>
      <c r="Q12" s="3">
        <v>0.65900000000000003</v>
      </c>
      <c r="R12" s="17">
        <f t="shared" si="25"/>
        <v>23.429000000000002</v>
      </c>
      <c r="S12" s="18">
        <f t="shared" si="21"/>
        <v>94.327542788851432</v>
      </c>
      <c r="T12" s="18">
        <f t="shared" si="22"/>
        <v>2.8597037859063552</v>
      </c>
      <c r="U12" s="19">
        <f t="shared" si="23"/>
        <v>2.8127534252422213</v>
      </c>
      <c r="V12" s="15">
        <f t="shared" si="24"/>
        <v>100.00000000000001</v>
      </c>
      <c r="X12">
        <f t="shared" si="2"/>
        <v>0.33078800000000008</v>
      </c>
      <c r="Y12">
        <f t="shared" si="3"/>
        <v>-8.4653720000000003</v>
      </c>
      <c r="AA12">
        <f t="shared" si="4"/>
        <v>-2.2177075999999989</v>
      </c>
      <c r="AB12">
        <f t="shared" si="5"/>
        <v>-15.910298000000001</v>
      </c>
      <c r="AD12">
        <f t="shared" si="6"/>
        <v>-5.5731530287157334</v>
      </c>
      <c r="AE12">
        <f t="shared" si="7"/>
        <v>0.23402919951521095</v>
      </c>
      <c r="AF12">
        <f t="shared" si="8"/>
        <v>5.3352503174286454</v>
      </c>
      <c r="AH12">
        <f t="shared" si="9"/>
        <v>3.7984847995929608E-3</v>
      </c>
      <c r="AI12">
        <f t="shared" si="10"/>
        <v>1.2636813905530535</v>
      </c>
      <c r="AJ12">
        <f t="shared" si="11"/>
        <v>207.52468935347551</v>
      </c>
      <c r="AK12" s="12">
        <f t="shared" si="12"/>
        <v>208.79216922882816</v>
      </c>
      <c r="AL12" s="14">
        <f t="shared" si="13"/>
        <v>1.8192659301460528E-5</v>
      </c>
      <c r="AM12" s="14">
        <f t="shared" si="14"/>
        <v>6.0523409245684277E-3</v>
      </c>
      <c r="AN12" s="14">
        <f t="shared" si="15"/>
        <v>0.99392946641613011</v>
      </c>
      <c r="AP12">
        <f t="shared" si="16"/>
        <v>-0.55598422391430269</v>
      </c>
      <c r="AQ12">
        <f t="shared" si="17"/>
        <v>2.0967909261337225</v>
      </c>
      <c r="AS12">
        <f t="shared" si="18"/>
        <v>0.11981440038894381</v>
      </c>
      <c r="AT12">
        <f t="shared" si="19"/>
        <v>4.2736769567123432</v>
      </c>
    </row>
    <row r="13" spans="1:46" ht="20.100000000000001" customHeight="1" x14ac:dyDescent="0.25">
      <c r="A13" s="4" t="s">
        <v>19</v>
      </c>
      <c r="B13" s="6">
        <v>71.5</v>
      </c>
      <c r="C13" s="6">
        <v>22.8</v>
      </c>
      <c r="D13" s="3">
        <v>3</v>
      </c>
      <c r="E13" s="3">
        <v>0.81899999999999995</v>
      </c>
      <c r="F13" s="3">
        <v>1.32</v>
      </c>
      <c r="G13" s="3">
        <v>0.157</v>
      </c>
      <c r="H13" s="3">
        <v>0.65</v>
      </c>
      <c r="I13" s="3">
        <v>0.16300000000000001</v>
      </c>
      <c r="J13" s="3">
        <v>0.20799999999999999</v>
      </c>
      <c r="K13" s="3">
        <v>8.8000000000000005E-3</v>
      </c>
      <c r="L13" s="8">
        <f t="shared" si="0"/>
        <v>93.320235756385074</v>
      </c>
      <c r="M13">
        <f t="shared" si="1"/>
        <v>0.26143859649122808</v>
      </c>
      <c r="O13" s="6">
        <v>18.100000000000001</v>
      </c>
      <c r="P13" s="15">
        <f t="shared" si="20"/>
        <v>1.756</v>
      </c>
      <c r="Q13" s="3">
        <v>2.2200000000000002</v>
      </c>
      <c r="R13" s="17">
        <f t="shared" si="25"/>
        <v>22.076000000000001</v>
      </c>
      <c r="S13" s="18">
        <f t="shared" si="21"/>
        <v>81.989490849791636</v>
      </c>
      <c r="T13" s="18">
        <f t="shared" si="22"/>
        <v>7.9543395542670776</v>
      </c>
      <c r="U13" s="19">
        <f t="shared" si="23"/>
        <v>10.056169595941295</v>
      </c>
      <c r="V13" s="15">
        <f t="shared" si="24"/>
        <v>100.00000000000001</v>
      </c>
      <c r="X13">
        <f t="shared" si="2"/>
        <v>4.1096179999999993</v>
      </c>
      <c r="Y13">
        <f t="shared" si="3"/>
        <v>-7.5676299999999994</v>
      </c>
      <c r="AA13">
        <f t="shared" si="4"/>
        <v>-2.1013103999999991</v>
      </c>
      <c r="AB13">
        <f t="shared" si="5"/>
        <v>-15.688133000000001</v>
      </c>
      <c r="AD13">
        <f t="shared" si="6"/>
        <v>-7.3354333352024064</v>
      </c>
      <c r="AE13">
        <f t="shared" si="7"/>
        <v>0.1447805085011783</v>
      </c>
      <c r="AF13">
        <f t="shared" si="8"/>
        <v>7.188243654345337</v>
      </c>
      <c r="AH13">
        <f t="shared" si="9"/>
        <v>6.5202129521231783E-4</v>
      </c>
      <c r="AI13">
        <f t="shared" si="10"/>
        <v>1.1557858572549897</v>
      </c>
      <c r="AJ13">
        <f t="shared" si="11"/>
        <v>1323.7761541559614</v>
      </c>
      <c r="AK13" s="12">
        <f t="shared" si="12"/>
        <v>1324.9325920345116</v>
      </c>
      <c r="AL13" s="14">
        <f t="shared" si="13"/>
        <v>4.9211657946394156E-7</v>
      </c>
      <c r="AM13" s="14">
        <f t="shared" si="14"/>
        <v>8.723355921679101E-4</v>
      </c>
      <c r="AN13" s="14">
        <f t="shared" si="15"/>
        <v>0.9991271722912527</v>
      </c>
      <c r="AP13">
        <f t="shared" si="16"/>
        <v>0.24731252826541494</v>
      </c>
      <c r="AQ13">
        <f t="shared" si="17"/>
        <v>4.4636545968268422</v>
      </c>
      <c r="AS13">
        <f t="shared" si="18"/>
        <v>-0.97730096171343139</v>
      </c>
      <c r="AT13">
        <f t="shared" si="19"/>
        <v>6.1670464215417606</v>
      </c>
    </row>
    <row r="14" spans="1:46" ht="20.100000000000001" customHeight="1" x14ac:dyDescent="0.25">
      <c r="A14" s="4" t="s">
        <v>20</v>
      </c>
      <c r="B14" s="6">
        <v>73.099999999999994</v>
      </c>
      <c r="C14" s="6">
        <v>22.3</v>
      </c>
      <c r="D14" s="3">
        <v>1.92</v>
      </c>
      <c r="E14" s="3">
        <v>1</v>
      </c>
      <c r="F14" s="3">
        <v>1.07</v>
      </c>
      <c r="G14" s="3">
        <v>0.13300000000000001</v>
      </c>
      <c r="H14" s="3">
        <v>0.78</v>
      </c>
      <c r="I14" s="3">
        <v>6.8500000000000005E-2</v>
      </c>
      <c r="J14" s="3">
        <v>0.29899999999999999</v>
      </c>
      <c r="K14" s="3">
        <v>2.87E-2</v>
      </c>
      <c r="L14" s="8">
        <f t="shared" si="0"/>
        <v>92.345280245149794</v>
      </c>
      <c r="M14">
        <f t="shared" si="1"/>
        <v>0.21826008968609867</v>
      </c>
      <c r="O14" s="6">
        <v>22.8</v>
      </c>
      <c r="P14" s="15">
        <f t="shared" si="20"/>
        <v>0.81300000000000006</v>
      </c>
      <c r="Q14" s="3">
        <v>0.81899999999999995</v>
      </c>
      <c r="R14" s="17">
        <f t="shared" si="25"/>
        <v>24.431999999999999</v>
      </c>
      <c r="S14" s="18">
        <f t="shared" si="21"/>
        <v>93.320235756385074</v>
      </c>
      <c r="T14" s="18">
        <f t="shared" si="22"/>
        <v>3.3276031434184681</v>
      </c>
      <c r="U14" s="19">
        <f t="shared" si="23"/>
        <v>3.3521611001964637</v>
      </c>
      <c r="V14" s="15">
        <f t="shared" si="24"/>
        <v>100.00000000000001</v>
      </c>
      <c r="X14">
        <f t="shared" si="2"/>
        <v>2.9853889999999996</v>
      </c>
      <c r="Y14">
        <f t="shared" si="3"/>
        <v>-7.1143819999999991</v>
      </c>
      <c r="AA14">
        <f t="shared" si="4"/>
        <v>-2.0501770999999991</v>
      </c>
      <c r="AB14">
        <f t="shared" si="5"/>
        <v>-15.326821500000001</v>
      </c>
      <c r="AD14">
        <f t="shared" si="6"/>
        <v>-7.6084791625649704</v>
      </c>
      <c r="AE14">
        <f t="shared" si="7"/>
        <v>0.2827893148177153</v>
      </c>
      <c r="AF14">
        <f t="shared" si="8"/>
        <v>7.3238981382033881</v>
      </c>
      <c r="AH14">
        <f t="shared" si="9"/>
        <v>4.9622596391832741E-4</v>
      </c>
      <c r="AI14">
        <f t="shared" si="10"/>
        <v>1.3268255898760957</v>
      </c>
      <c r="AJ14">
        <f t="shared" si="11"/>
        <v>1516.102442614711</v>
      </c>
      <c r="AK14" s="12">
        <f t="shared" si="12"/>
        <v>1517.4297644305509</v>
      </c>
      <c r="AL14" s="14">
        <f t="shared" si="13"/>
        <v>3.2701741823585964E-7</v>
      </c>
      <c r="AM14" s="14">
        <f t="shared" si="14"/>
        <v>8.7439011740620255E-4</v>
      </c>
      <c r="AN14" s="14">
        <f t="shared" si="15"/>
        <v>0.99912528286517566</v>
      </c>
      <c r="AP14">
        <f t="shared" si="16"/>
        <v>0.93074436420072537</v>
      </c>
      <c r="AQ14">
        <f t="shared" si="17"/>
        <v>4.7083464280899303</v>
      </c>
      <c r="AS14">
        <f t="shared" si="18"/>
        <v>-1.5642078612658783</v>
      </c>
      <c r="AT14">
        <f t="shared" si="19"/>
        <v>4.3350225230688277</v>
      </c>
    </row>
    <row r="15" spans="1:46" ht="20.100000000000001" customHeight="1" x14ac:dyDescent="0.25">
      <c r="A15" s="4" t="s">
        <v>21</v>
      </c>
      <c r="B15" s="6">
        <v>65.5</v>
      </c>
      <c r="C15" s="6">
        <v>18.3</v>
      </c>
      <c r="D15" s="3">
        <v>5.24</v>
      </c>
      <c r="E15" s="3">
        <v>2.41</v>
      </c>
      <c r="F15" s="3">
        <v>0.89800000000000002</v>
      </c>
      <c r="G15" s="3">
        <v>0.48799999999999999</v>
      </c>
      <c r="H15" s="3">
        <v>1.65</v>
      </c>
      <c r="I15" s="3">
        <v>1.72</v>
      </c>
      <c r="J15" s="3">
        <v>0.625</v>
      </c>
      <c r="K15" s="3">
        <v>1.28</v>
      </c>
      <c r="L15" s="8">
        <f t="shared" si="0"/>
        <v>75.996677740863788</v>
      </c>
      <c r="M15">
        <f t="shared" si="1"/>
        <v>0.72120218579234974</v>
      </c>
      <c r="O15" s="6">
        <v>22.3</v>
      </c>
      <c r="P15" s="15">
        <f t="shared" si="20"/>
        <v>0.84850000000000003</v>
      </c>
      <c r="Q15" s="3">
        <v>1</v>
      </c>
      <c r="R15" s="17">
        <f t="shared" si="25"/>
        <v>24.148500000000002</v>
      </c>
      <c r="S15" s="18">
        <f t="shared" si="21"/>
        <v>92.345280245149794</v>
      </c>
      <c r="T15" s="18">
        <f t="shared" si="22"/>
        <v>3.5136757976685926</v>
      </c>
      <c r="U15" s="19">
        <f t="shared" si="23"/>
        <v>4.1410439571816049</v>
      </c>
      <c r="V15" s="15">
        <f t="shared" si="24"/>
        <v>100</v>
      </c>
      <c r="X15">
        <f t="shared" si="2"/>
        <v>2.4949050000000028</v>
      </c>
      <c r="Y15">
        <f t="shared" si="3"/>
        <v>-7.8869409999999993</v>
      </c>
      <c r="AA15">
        <f t="shared" si="4"/>
        <v>4.5439899999999991</v>
      </c>
      <c r="AB15">
        <f t="shared" si="5"/>
        <v>-12.506770000000003</v>
      </c>
      <c r="AD15">
        <f t="shared" si="6"/>
        <v>-5.0916854886664238</v>
      </c>
      <c r="AE15">
        <f t="shared" si="7"/>
        <v>0.39644890113064901</v>
      </c>
      <c r="AF15">
        <f t="shared" si="8"/>
        <v>4.6900257764320354</v>
      </c>
      <c r="AH15">
        <f t="shared" si="9"/>
        <v>6.1476493566024401E-3</v>
      </c>
      <c r="AI15">
        <f t="shared" si="10"/>
        <v>1.4865364757008557</v>
      </c>
      <c r="AJ15">
        <f t="shared" si="11"/>
        <v>108.85598569016979</v>
      </c>
      <c r="AK15" s="12">
        <f t="shared" si="12"/>
        <v>110.34866981522724</v>
      </c>
      <c r="AL15" s="14">
        <f t="shared" si="13"/>
        <v>5.5711132421408795E-5</v>
      </c>
      <c r="AM15" s="14">
        <f t="shared" si="14"/>
        <v>1.3471267738795393E-2</v>
      </c>
      <c r="AN15" s="14">
        <f t="shared" si="15"/>
        <v>0.98647302112878321</v>
      </c>
      <c r="AP15">
        <f t="shared" si="16"/>
        <v>0.11712823536696249</v>
      </c>
      <c r="AQ15">
        <f t="shared" si="17"/>
        <v>2.5679930211176054</v>
      </c>
      <c r="AS15">
        <f t="shared" si="18"/>
        <v>-1.4360009298872058</v>
      </c>
      <c r="AT15">
        <f t="shared" si="19"/>
        <v>1.6054966736263068</v>
      </c>
    </row>
    <row r="16" spans="1:46" ht="20.100000000000001" customHeight="1" x14ac:dyDescent="0.25">
      <c r="A16" s="4" t="s">
        <v>22</v>
      </c>
      <c r="B16" s="6">
        <v>69.2</v>
      </c>
      <c r="C16" s="6">
        <v>21.5</v>
      </c>
      <c r="D16" s="3">
        <v>2.08</v>
      </c>
      <c r="E16" s="3">
        <v>3.22</v>
      </c>
      <c r="F16" s="3">
        <v>1.73</v>
      </c>
      <c r="G16" s="3">
        <v>0.11799999999999999</v>
      </c>
      <c r="H16" s="3">
        <v>1.92</v>
      </c>
      <c r="I16" s="3">
        <v>0.51500000000000001</v>
      </c>
      <c r="J16" s="3">
        <v>0.89500000000000002</v>
      </c>
      <c r="K16" s="3">
        <v>4.9000000000000002E-2</v>
      </c>
      <c r="L16" s="8">
        <f t="shared" si="0"/>
        <v>79.175105873688082</v>
      </c>
      <c r="M16">
        <f t="shared" si="1"/>
        <v>0.44251162790697673</v>
      </c>
      <c r="O16" s="6">
        <v>18.3</v>
      </c>
      <c r="P16" s="15">
        <f t="shared" si="20"/>
        <v>3.37</v>
      </c>
      <c r="Q16" s="3">
        <v>2.41</v>
      </c>
      <c r="R16" s="17">
        <f t="shared" si="25"/>
        <v>24.080000000000002</v>
      </c>
      <c r="S16" s="18">
        <f t="shared" si="21"/>
        <v>75.996677740863788</v>
      </c>
      <c r="T16" s="18">
        <f t="shared" si="22"/>
        <v>13.99501661129568</v>
      </c>
      <c r="U16" s="19">
        <f t="shared" si="23"/>
        <v>10.008305647840531</v>
      </c>
      <c r="V16" s="15">
        <f t="shared" si="24"/>
        <v>100</v>
      </c>
      <c r="X16">
        <f t="shared" si="2"/>
        <v>-1.2872950000000003</v>
      </c>
      <c r="Y16">
        <f t="shared" si="3"/>
        <v>-8.9875350000000012</v>
      </c>
      <c r="AA16">
        <f t="shared" si="4"/>
        <v>-1.4864170000000008</v>
      </c>
      <c r="AB16">
        <f t="shared" si="5"/>
        <v>-17.808683000000002</v>
      </c>
      <c r="AD16">
        <f t="shared" si="6"/>
        <v>-6.5689597223630685</v>
      </c>
      <c r="AE16">
        <f t="shared" si="7"/>
        <v>0.57616751572424751</v>
      </c>
      <c r="AF16">
        <f t="shared" si="8"/>
        <v>5.9892498593895063</v>
      </c>
      <c r="AH16">
        <f t="shared" si="9"/>
        <v>1.4032564293959661E-3</v>
      </c>
      <c r="AI16">
        <f t="shared" si="10"/>
        <v>1.7792065664168131</v>
      </c>
      <c r="AJ16">
        <f t="shared" si="11"/>
        <v>399.11510515716907</v>
      </c>
      <c r="AK16" s="12">
        <f t="shared" si="12"/>
        <v>400.89571498001527</v>
      </c>
      <c r="AL16" s="14">
        <f t="shared" si="13"/>
        <v>3.5003028891588894E-6</v>
      </c>
      <c r="AM16" s="14">
        <f t="shared" si="14"/>
        <v>4.4380782830405327E-3</v>
      </c>
      <c r="AN16" s="14">
        <f t="shared" si="15"/>
        <v>0.99555842141407036</v>
      </c>
      <c r="AP16">
        <f t="shared" si="16"/>
        <v>1.1082053888924737</v>
      </c>
      <c r="AQ16">
        <f t="shared" si="17"/>
        <v>2.067787201386575</v>
      </c>
      <c r="AS16">
        <f t="shared" si="18"/>
        <v>0.21702475479964961</v>
      </c>
      <c r="AT16">
        <f t="shared" si="19"/>
        <v>3.9179856002541986</v>
      </c>
    </row>
    <row r="17" spans="1:46" ht="20.100000000000001" customHeight="1" x14ac:dyDescent="0.25">
      <c r="A17" s="4" t="s">
        <v>23</v>
      </c>
      <c r="B17" s="6">
        <v>71</v>
      </c>
      <c r="C17" s="6">
        <v>17.600000000000001</v>
      </c>
      <c r="D17" s="3">
        <v>4.8499999999999996</v>
      </c>
      <c r="E17" s="3">
        <v>2.98</v>
      </c>
      <c r="F17" s="3">
        <v>0.98099999999999998</v>
      </c>
      <c r="G17" s="3">
        <v>0.17</v>
      </c>
      <c r="H17" s="3">
        <v>1.9370000000000001</v>
      </c>
      <c r="I17" s="3">
        <v>0.93600000000000005</v>
      </c>
      <c r="J17" s="3">
        <v>0.81399999999999995</v>
      </c>
      <c r="K17" s="3">
        <v>4.4400000000000002E-2</v>
      </c>
      <c r="L17" s="8">
        <f t="shared" si="0"/>
        <v>75.04370443013687</v>
      </c>
      <c r="M17">
        <f t="shared" si="1"/>
        <v>0.6663863636363635</v>
      </c>
      <c r="O17" s="6">
        <v>21.5</v>
      </c>
      <c r="P17" s="15">
        <f t="shared" si="20"/>
        <v>2.4350000000000001</v>
      </c>
      <c r="Q17" s="3">
        <v>3.22</v>
      </c>
      <c r="R17" s="17">
        <f t="shared" si="25"/>
        <v>27.154999999999998</v>
      </c>
      <c r="S17" s="18">
        <f t="shared" si="21"/>
        <v>79.175105873688096</v>
      </c>
      <c r="T17" s="18">
        <f t="shared" si="22"/>
        <v>8.9670410605781647</v>
      </c>
      <c r="U17" s="19">
        <f t="shared" si="23"/>
        <v>11.857853065733751</v>
      </c>
      <c r="V17" s="15">
        <f t="shared" si="24"/>
        <v>100.00000000000001</v>
      </c>
      <c r="X17">
        <f t="shared" si="2"/>
        <v>0.27946699999999858</v>
      </c>
      <c r="Y17">
        <f t="shared" si="3"/>
        <v>-8.5820089999999993</v>
      </c>
      <c r="AA17">
        <f t="shared" si="4"/>
        <v>-1.900574199999999</v>
      </c>
      <c r="AB17">
        <f t="shared" si="5"/>
        <v>-17.759310000000003</v>
      </c>
      <c r="AD17">
        <f t="shared" si="6"/>
        <v>-5.12334865232532</v>
      </c>
      <c r="AE17">
        <f t="shared" si="7"/>
        <v>0.38596929309899608</v>
      </c>
      <c r="AF17">
        <f t="shared" si="8"/>
        <v>4.7327328534162785</v>
      </c>
      <c r="AH17">
        <f t="shared" si="9"/>
        <v>5.956044740657627E-3</v>
      </c>
      <c r="AI17">
        <f t="shared" si="10"/>
        <v>1.471039499056934</v>
      </c>
      <c r="AJ17">
        <f t="shared" si="11"/>
        <v>113.60560597219842</v>
      </c>
      <c r="AK17" s="12">
        <f t="shared" si="12"/>
        <v>115.082601515996</v>
      </c>
      <c r="AL17" s="14">
        <f t="shared" si="13"/>
        <v>5.1754519468607614E-5</v>
      </c>
      <c r="AM17" s="14">
        <f t="shared" si="14"/>
        <v>1.2782466503874311E-2</v>
      </c>
      <c r="AN17" s="14">
        <f t="shared" si="15"/>
        <v>0.98716577897665714</v>
      </c>
      <c r="AP17">
        <f t="shared" si="16"/>
        <v>-1.8070979117040897</v>
      </c>
      <c r="AQ17">
        <f t="shared" si="17"/>
        <v>1.0550848213831077</v>
      </c>
      <c r="AS17">
        <f t="shared" si="18"/>
        <v>0.74228989973249915</v>
      </c>
      <c r="AT17">
        <f t="shared" si="19"/>
        <v>5.5568807447575317</v>
      </c>
    </row>
    <row r="18" spans="1:46" ht="20.100000000000001" customHeight="1" x14ac:dyDescent="0.25">
      <c r="A18" s="4" t="s">
        <v>24</v>
      </c>
      <c r="B18" s="6">
        <v>71.900000000000006</v>
      </c>
      <c r="C18" s="6">
        <v>23</v>
      </c>
      <c r="D18" s="3">
        <v>2.23</v>
      </c>
      <c r="E18" s="3">
        <v>1.32</v>
      </c>
      <c r="F18" s="3">
        <v>0.80200000000000005</v>
      </c>
      <c r="G18" s="3">
        <v>8.1900000000000001E-2</v>
      </c>
      <c r="H18" s="3">
        <v>0.8580000000000001</v>
      </c>
      <c r="I18" s="3">
        <v>0.2472</v>
      </c>
      <c r="J18" s="3">
        <v>0.432</v>
      </c>
      <c r="K18" s="3">
        <v>1.9300000000000001E-2</v>
      </c>
      <c r="L18" s="8">
        <f t="shared" si="0"/>
        <v>90.461431965136953</v>
      </c>
      <c r="M18">
        <f t="shared" si="1"/>
        <v>0.23810869565217394</v>
      </c>
      <c r="O18" s="6">
        <v>17.600000000000001</v>
      </c>
      <c r="P18" s="15">
        <f t="shared" si="20"/>
        <v>2.8730000000000002</v>
      </c>
      <c r="Q18" s="3">
        <v>2.98</v>
      </c>
      <c r="R18" s="17">
        <f t="shared" si="25"/>
        <v>23.453000000000003</v>
      </c>
      <c r="S18" s="18">
        <f t="shared" si="21"/>
        <v>75.04370443013687</v>
      </c>
      <c r="T18" s="18">
        <f t="shared" si="22"/>
        <v>12.25003197885132</v>
      </c>
      <c r="U18" s="19">
        <f t="shared" si="23"/>
        <v>12.70626359101181</v>
      </c>
      <c r="V18" s="15">
        <f t="shared" si="24"/>
        <v>100</v>
      </c>
      <c r="X18">
        <f t="shared" si="2"/>
        <v>3.5701812000000022</v>
      </c>
      <c r="Y18">
        <f t="shared" si="3"/>
        <v>-7.0406403999999991</v>
      </c>
      <c r="AA18">
        <f t="shared" si="4"/>
        <v>-2.5523863999999992</v>
      </c>
      <c r="AB18">
        <f t="shared" si="5"/>
        <v>-16.947438800000004</v>
      </c>
      <c r="AD18">
        <f t="shared" si="6"/>
        <v>-7.4100261379484902</v>
      </c>
      <c r="AE18">
        <f t="shared" si="7"/>
        <v>0.39266725952196102</v>
      </c>
      <c r="AF18">
        <f t="shared" si="8"/>
        <v>7.0138297301279895</v>
      </c>
      <c r="AH18">
        <f t="shared" si="9"/>
        <v>6.0515487682133386E-4</v>
      </c>
      <c r="AI18">
        <f t="shared" si="10"/>
        <v>1.4809255434656545</v>
      </c>
      <c r="AJ18">
        <f t="shared" si="11"/>
        <v>1111.9046560006964</v>
      </c>
      <c r="AK18" s="12">
        <f t="shared" si="12"/>
        <v>1113.3861866990389</v>
      </c>
      <c r="AL18" s="14">
        <f t="shared" si="13"/>
        <v>5.4352648169229908E-7</v>
      </c>
      <c r="AM18" s="14">
        <f t="shared" si="14"/>
        <v>1.3301094994328016E-3</v>
      </c>
      <c r="AN18" s="14">
        <f t="shared" si="15"/>
        <v>0.99866934697408538</v>
      </c>
      <c r="AP18">
        <f t="shared" si="16"/>
        <v>-6.3092522073925128E-2</v>
      </c>
      <c r="AQ18">
        <f t="shared" si="17"/>
        <v>2.9973331092273532</v>
      </c>
      <c r="AS18">
        <f t="shared" si="18"/>
        <v>-0.53929978425959813</v>
      </c>
      <c r="AT18">
        <f t="shared" si="19"/>
        <v>5.1443883915332318</v>
      </c>
    </row>
    <row r="19" spans="1:46" ht="20.100000000000001" customHeight="1" x14ac:dyDescent="0.25">
      <c r="A19" s="4" t="s">
        <v>25</v>
      </c>
      <c r="B19" s="6">
        <v>70.599999999999994</v>
      </c>
      <c r="C19" s="6">
        <v>20</v>
      </c>
      <c r="D19" s="3">
        <v>3.98</v>
      </c>
      <c r="E19" s="3">
        <v>2.74</v>
      </c>
      <c r="F19" s="3">
        <v>0.77300000000000002</v>
      </c>
      <c r="G19" s="3">
        <v>0.159</v>
      </c>
      <c r="H19" s="3">
        <v>1.7810000000000001</v>
      </c>
      <c r="I19" s="3">
        <v>0.72199999999999998</v>
      </c>
      <c r="J19" s="3">
        <v>0.79400000000000004</v>
      </c>
      <c r="K19" s="3">
        <v>4.0399999999999998E-2</v>
      </c>
      <c r="L19" s="8">
        <f t="shared" si="0"/>
        <v>79.229885512815429</v>
      </c>
      <c r="M19">
        <f t="shared" si="1"/>
        <v>0.50182000000000004</v>
      </c>
      <c r="O19" s="6">
        <v>23</v>
      </c>
      <c r="P19" s="15">
        <f t="shared" si="20"/>
        <v>1.1052000000000002</v>
      </c>
      <c r="Q19" s="3">
        <v>1.32</v>
      </c>
      <c r="R19" s="17">
        <f t="shared" si="25"/>
        <v>25.4252</v>
      </c>
      <c r="S19" s="18">
        <f t="shared" si="21"/>
        <v>90.461431965136953</v>
      </c>
      <c r="T19" s="18">
        <f t="shared" si="22"/>
        <v>4.3468684612117121</v>
      </c>
      <c r="U19" s="19">
        <f t="shared" si="23"/>
        <v>5.1916995736513387</v>
      </c>
      <c r="V19" s="15">
        <f t="shared" si="24"/>
        <v>100</v>
      </c>
      <c r="X19">
        <f t="shared" si="2"/>
        <v>1.5050590000000028</v>
      </c>
      <c r="Y19">
        <f t="shared" si="3"/>
        <v>-7.949465</v>
      </c>
      <c r="AA19">
        <f t="shared" si="4"/>
        <v>-1.8971561999999993</v>
      </c>
      <c r="AB19">
        <f t="shared" si="5"/>
        <v>-18.175761999999999</v>
      </c>
      <c r="AD19">
        <f t="shared" si="6"/>
        <v>-6.0478358881354879</v>
      </c>
      <c r="AE19">
        <f t="shared" si="7"/>
        <v>0.49342541910461513</v>
      </c>
      <c r="AF19">
        <f t="shared" si="8"/>
        <v>5.5497909098799756</v>
      </c>
      <c r="AH19">
        <f t="shared" si="9"/>
        <v>2.3629702090005519E-3</v>
      </c>
      <c r="AI19">
        <f t="shared" si="10"/>
        <v>1.6379171744516914</v>
      </c>
      <c r="AJ19">
        <f t="shared" si="11"/>
        <v>257.18377569698674</v>
      </c>
      <c r="AK19" s="12">
        <f t="shared" si="12"/>
        <v>258.82405584164741</v>
      </c>
      <c r="AL19" s="14">
        <f t="shared" si="13"/>
        <v>9.1296390566039726E-6</v>
      </c>
      <c r="AM19" s="14">
        <f t="shared" si="14"/>
        <v>6.3283034844867532E-3</v>
      </c>
      <c r="AN19" s="14">
        <f t="shared" si="15"/>
        <v>0.99366256687645671</v>
      </c>
      <c r="AP19">
        <f t="shared" si="16"/>
        <v>-1.8769021010763449</v>
      </c>
      <c r="AQ19">
        <f t="shared" si="17"/>
        <v>1.2093589400135532</v>
      </c>
      <c r="AS19">
        <f t="shared" si="18"/>
        <v>0.36339848249281276</v>
      </c>
      <c r="AT19">
        <f t="shared" si="19"/>
        <v>5.5558626448233728</v>
      </c>
    </row>
    <row r="20" spans="1:46" ht="20.100000000000001" customHeight="1" x14ac:dyDescent="0.25">
      <c r="A20" s="4" t="s">
        <v>26</v>
      </c>
      <c r="B20" s="6">
        <v>67.7</v>
      </c>
      <c r="C20" s="6">
        <v>19.600000000000001</v>
      </c>
      <c r="D20" s="3">
        <v>6.01</v>
      </c>
      <c r="E20" s="3">
        <v>2.54</v>
      </c>
      <c r="F20" s="3">
        <v>1.62</v>
      </c>
      <c r="G20" s="3">
        <v>0.26200000000000001</v>
      </c>
      <c r="H20" s="3">
        <v>1.651</v>
      </c>
      <c r="I20" s="3">
        <v>1.18</v>
      </c>
      <c r="J20" s="3">
        <v>0.79900000000000004</v>
      </c>
      <c r="K20" s="3">
        <v>7.3599999999999999E-2</v>
      </c>
      <c r="L20" s="8">
        <f t="shared" si="0"/>
        <v>78.491049617556371</v>
      </c>
      <c r="M20">
        <f t="shared" si="1"/>
        <v>0.66707142857142865</v>
      </c>
      <c r="O20" s="6">
        <v>20</v>
      </c>
      <c r="P20" s="15">
        <f t="shared" si="20"/>
        <v>2.5030000000000001</v>
      </c>
      <c r="Q20" s="3">
        <v>2.74</v>
      </c>
      <c r="R20" s="17">
        <f t="shared" si="25"/>
        <v>25.243000000000002</v>
      </c>
      <c r="S20" s="18">
        <f t="shared" si="21"/>
        <v>79.229885512815429</v>
      </c>
      <c r="T20" s="18">
        <f t="shared" si="22"/>
        <v>9.9156201719288521</v>
      </c>
      <c r="U20" s="19">
        <f t="shared" si="23"/>
        <v>10.854494315255714</v>
      </c>
      <c r="V20" s="15">
        <f t="shared" si="24"/>
        <v>100</v>
      </c>
      <c r="X20">
        <f t="shared" si="2"/>
        <v>1.9864519999999981</v>
      </c>
      <c r="Y20">
        <f t="shared" si="3"/>
        <v>-9.1559599999999985</v>
      </c>
      <c r="AA20">
        <f t="shared" si="4"/>
        <v>-1.3335238000000003</v>
      </c>
      <c r="AB20">
        <f t="shared" si="5"/>
        <v>-17.393615000000004</v>
      </c>
      <c r="AD20">
        <f t="shared" si="6"/>
        <v>-5.4544494585407275</v>
      </c>
      <c r="AE20">
        <f t="shared" si="7"/>
        <v>0.12442987195810662</v>
      </c>
      <c r="AF20">
        <f t="shared" si="8"/>
        <v>5.3256906291973767</v>
      </c>
      <c r="AH20">
        <f t="shared" si="9"/>
        <v>4.2772309265819656E-3</v>
      </c>
      <c r="AI20">
        <f t="shared" si="10"/>
        <v>1.1325025974857881</v>
      </c>
      <c r="AJ20">
        <f t="shared" si="11"/>
        <v>205.55027047386267</v>
      </c>
      <c r="AK20" s="12">
        <f t="shared" si="12"/>
        <v>206.68705030227503</v>
      </c>
      <c r="AL20" s="14">
        <f t="shared" si="13"/>
        <v>2.0694237594114456E-5</v>
      </c>
      <c r="AM20" s="14">
        <f t="shared" si="14"/>
        <v>5.4793108510162065E-3</v>
      </c>
      <c r="AN20" s="14">
        <f t="shared" si="15"/>
        <v>0.99449999491138974</v>
      </c>
      <c r="AP20">
        <f t="shared" si="16"/>
        <v>-0.58273141306739884</v>
      </c>
      <c r="AQ20">
        <f t="shared" si="17"/>
        <v>1.7101897154131298</v>
      </c>
      <c r="AS20">
        <f t="shared" si="18"/>
        <v>0.31950824633472646</v>
      </c>
      <c r="AT20">
        <f t="shared" si="19"/>
        <v>4.3876906543548273</v>
      </c>
    </row>
    <row r="21" spans="1:46" ht="20.100000000000001" customHeight="1" x14ac:dyDescent="0.25">
      <c r="A21" s="4" t="s">
        <v>27</v>
      </c>
      <c r="B21" s="6">
        <v>70.3</v>
      </c>
      <c r="C21" s="6">
        <v>17.8</v>
      </c>
      <c r="D21" s="3">
        <v>4.9800000000000004</v>
      </c>
      <c r="E21" s="3">
        <v>2.75</v>
      </c>
      <c r="F21" s="3">
        <v>1.01</v>
      </c>
      <c r="G21" s="3">
        <v>0.129</v>
      </c>
      <c r="H21" s="3">
        <v>1.7875000000000001</v>
      </c>
      <c r="I21" s="3">
        <v>0.496</v>
      </c>
      <c r="J21" s="3">
        <v>0.90100000000000002</v>
      </c>
      <c r="K21" s="3">
        <v>8.5500000000000007E-2</v>
      </c>
      <c r="L21" s="8">
        <f t="shared" si="0"/>
        <v>77.955635360325843</v>
      </c>
      <c r="M21">
        <f t="shared" si="1"/>
        <v>0.62410112359550562</v>
      </c>
      <c r="O21" s="6">
        <v>19.600000000000001</v>
      </c>
      <c r="P21" s="15">
        <f t="shared" si="20"/>
        <v>2.831</v>
      </c>
      <c r="Q21" s="3">
        <v>2.54</v>
      </c>
      <c r="R21" s="17">
        <f t="shared" si="25"/>
        <v>24.971</v>
      </c>
      <c r="S21" s="18">
        <f t="shared" si="21"/>
        <v>78.491049617556371</v>
      </c>
      <c r="T21" s="18">
        <f t="shared" si="22"/>
        <v>11.337151095270514</v>
      </c>
      <c r="U21" s="19">
        <f t="shared" si="23"/>
        <v>10.171799287173121</v>
      </c>
      <c r="V21" s="15">
        <f t="shared" si="24"/>
        <v>100</v>
      </c>
      <c r="X21">
        <f t="shared" si="2"/>
        <v>0.23630050000000047</v>
      </c>
      <c r="Y21">
        <f t="shared" si="3"/>
        <v>-8.6801645000000001</v>
      </c>
      <c r="AA21">
        <f t="shared" si="4"/>
        <v>-2.3645584999999993</v>
      </c>
      <c r="AB21">
        <f t="shared" si="5"/>
        <v>-17.044635499999998</v>
      </c>
      <c r="AD21">
        <f t="shared" si="6"/>
        <v>-5.3624056007267518</v>
      </c>
      <c r="AE21">
        <f t="shared" si="7"/>
        <v>0.22236312155367843</v>
      </c>
      <c r="AF21">
        <f t="shared" si="8"/>
        <v>5.1360700541412747</v>
      </c>
      <c r="AH21">
        <f t="shared" si="9"/>
        <v>4.6896111954058458E-3</v>
      </c>
      <c r="AI21">
        <f t="shared" si="10"/>
        <v>1.2490248433694586</v>
      </c>
      <c r="AJ21">
        <f t="shared" si="11"/>
        <v>170.04618117698675</v>
      </c>
      <c r="AK21" s="12">
        <f t="shared" si="12"/>
        <v>171.29989563155161</v>
      </c>
      <c r="AL21" s="14">
        <f t="shared" si="13"/>
        <v>2.7376614434679605E-5</v>
      </c>
      <c r="AM21" s="14">
        <f t="shared" si="14"/>
        <v>7.29145128060079E-3</v>
      </c>
      <c r="AN21" s="14">
        <f t="shared" si="15"/>
        <v>0.99268117210496454</v>
      </c>
      <c r="AP21">
        <f t="shared" si="16"/>
        <v>-1.2759542601926093</v>
      </c>
      <c r="AQ21">
        <f t="shared" si="17"/>
        <v>1.5922604711660724</v>
      </c>
      <c r="AS21">
        <f t="shared" si="18"/>
        <v>0.26801667155307768</v>
      </c>
      <c r="AT21">
        <f t="shared" si="19"/>
        <v>4.1169223719639554</v>
      </c>
    </row>
    <row r="22" spans="1:46" ht="20.100000000000001" customHeight="1" x14ac:dyDescent="0.25">
      <c r="A22" s="4" t="s">
        <v>28</v>
      </c>
      <c r="B22" s="6">
        <v>75.099999999999994</v>
      </c>
      <c r="C22" s="6">
        <v>23.1</v>
      </c>
      <c r="D22" s="3">
        <v>0.36799999999999999</v>
      </c>
      <c r="E22" s="3">
        <v>0.38300000000000001</v>
      </c>
      <c r="F22" s="3">
        <v>0.69399999999999995</v>
      </c>
      <c r="G22" s="3">
        <v>8.8900000000000007E-2</v>
      </c>
      <c r="H22" s="3">
        <v>0.24895</v>
      </c>
      <c r="I22" s="3">
        <v>0.10138999999999999</v>
      </c>
      <c r="J22" s="3">
        <v>0.11799999999999999</v>
      </c>
      <c r="K22" s="3">
        <v>2.7000000000000001E-3</v>
      </c>
      <c r="L22" s="8">
        <f t="shared" si="0"/>
        <v>96.92304981173433</v>
      </c>
      <c r="M22">
        <f t="shared" si="1"/>
        <v>7.7837229437229427E-2</v>
      </c>
      <c r="O22" s="6">
        <v>17.8</v>
      </c>
      <c r="P22" s="15">
        <f t="shared" si="20"/>
        <v>2.2835000000000001</v>
      </c>
      <c r="Q22" s="3">
        <v>2.75</v>
      </c>
      <c r="R22" s="17">
        <f t="shared" si="25"/>
        <v>22.833500000000001</v>
      </c>
      <c r="S22" s="18">
        <f t="shared" si="21"/>
        <v>77.955635360325843</v>
      </c>
      <c r="T22" s="18">
        <f t="shared" si="22"/>
        <v>10.000656929511463</v>
      </c>
      <c r="U22" s="19">
        <f t="shared" si="23"/>
        <v>12.0437077101627</v>
      </c>
      <c r="V22" s="15">
        <f t="shared" si="24"/>
        <v>100</v>
      </c>
      <c r="X22">
        <f t="shared" si="2"/>
        <v>3.6815457900000013</v>
      </c>
      <c r="Y22">
        <f t="shared" si="3"/>
        <v>-6.2105859299999997</v>
      </c>
      <c r="AA22">
        <f t="shared" si="4"/>
        <v>-2.4013624999999994</v>
      </c>
      <c r="AB22">
        <f t="shared" si="5"/>
        <v>-14.858489280000002</v>
      </c>
      <c r="AD22">
        <f t="shared" si="6"/>
        <v>-8.045131680160269</v>
      </c>
      <c r="AE22">
        <f t="shared" si="7"/>
        <v>0.66147495339886742</v>
      </c>
      <c r="AF22">
        <f t="shared" si="8"/>
        <v>7.3808306207800776</v>
      </c>
      <c r="AH22">
        <f t="shared" si="9"/>
        <v>3.2065920028884621E-4</v>
      </c>
      <c r="AI22">
        <f t="shared" si="10"/>
        <v>1.9376481685251477</v>
      </c>
      <c r="AJ22">
        <f t="shared" si="11"/>
        <v>1604.9222961526407</v>
      </c>
      <c r="AK22" s="12">
        <f t="shared" si="12"/>
        <v>1606.8602649803661</v>
      </c>
      <c r="AL22" s="14">
        <f t="shared" si="13"/>
        <v>1.9955636919851539E-7</v>
      </c>
      <c r="AM22" s="14">
        <f t="shared" si="14"/>
        <v>1.2058597818079865E-3</v>
      </c>
      <c r="AN22" s="14">
        <f t="shared" si="15"/>
        <v>0.99879394066182281</v>
      </c>
      <c r="AP22">
        <f t="shared" si="16"/>
        <v>3.1636388519230589</v>
      </c>
      <c r="AQ22">
        <f t="shared" si="17"/>
        <v>5.3376846362744885</v>
      </c>
      <c r="AS22">
        <f t="shared" si="18"/>
        <v>-1.4839925807049776</v>
      </c>
      <c r="AT22">
        <f t="shared" si="19"/>
        <v>6.8159562922013208</v>
      </c>
    </row>
    <row r="23" spans="1:46" ht="20.100000000000001" customHeight="1" x14ac:dyDescent="0.25">
      <c r="A23" s="4" t="s">
        <v>29</v>
      </c>
      <c r="B23" s="6">
        <v>67.400000000000006</v>
      </c>
      <c r="C23" s="6">
        <v>19.8</v>
      </c>
      <c r="D23" s="3">
        <v>5.15</v>
      </c>
      <c r="E23" s="3">
        <v>3.28</v>
      </c>
      <c r="F23" s="3">
        <v>1.79</v>
      </c>
      <c r="G23" s="3">
        <v>0.14399999999999999</v>
      </c>
      <c r="H23" s="3">
        <v>2.1320000000000001</v>
      </c>
      <c r="I23" s="3">
        <v>1.1000000000000001</v>
      </c>
      <c r="J23" s="3">
        <v>0.97099999999999997</v>
      </c>
      <c r="K23" s="3">
        <v>5.7700000000000001E-2</v>
      </c>
      <c r="L23" s="8">
        <f t="shared" si="0"/>
        <v>75.250836120401331</v>
      </c>
      <c r="M23">
        <f t="shared" si="1"/>
        <v>0.6823080808080807</v>
      </c>
      <c r="O23" s="6">
        <v>23.1</v>
      </c>
      <c r="P23" s="15">
        <f t="shared" si="20"/>
        <v>0.35033999999999998</v>
      </c>
      <c r="Q23" s="3">
        <v>0.38300000000000001</v>
      </c>
      <c r="R23" s="17">
        <f t="shared" si="25"/>
        <v>23.83334</v>
      </c>
      <c r="S23" s="18">
        <f t="shared" si="21"/>
        <v>96.92304981173433</v>
      </c>
      <c r="T23" s="18">
        <f t="shared" si="22"/>
        <v>1.4699576307810822</v>
      </c>
      <c r="U23" s="19">
        <f t="shared" si="23"/>
        <v>1.6069925574845993</v>
      </c>
      <c r="V23" s="15">
        <f t="shared" si="24"/>
        <v>100.00000000000001</v>
      </c>
      <c r="X23">
        <f t="shared" si="2"/>
        <v>0.18408499999999961</v>
      </c>
      <c r="Y23">
        <f t="shared" si="3"/>
        <v>-9.4253649999999993</v>
      </c>
      <c r="AA23">
        <f t="shared" si="4"/>
        <v>-1.8142826000000001</v>
      </c>
      <c r="AB23">
        <f t="shared" si="5"/>
        <v>-18.792836000000001</v>
      </c>
      <c r="AD23">
        <f t="shared" si="6"/>
        <v>-5.5705054875794575</v>
      </c>
      <c r="AE23">
        <f t="shared" si="7"/>
        <v>0.2636633549725137</v>
      </c>
      <c r="AF23">
        <f t="shared" si="8"/>
        <v>5.3026876101129812</v>
      </c>
      <c r="AH23">
        <f t="shared" si="9"/>
        <v>3.8085547688021643E-3</v>
      </c>
      <c r="AI23">
        <f t="shared" si="10"/>
        <v>1.3016899150951933</v>
      </c>
      <c r="AJ23">
        <f t="shared" si="11"/>
        <v>200.87596140115994</v>
      </c>
      <c r="AK23" s="12">
        <f t="shared" si="12"/>
        <v>202.18145987102395</v>
      </c>
      <c r="AL23" s="14">
        <f t="shared" si="13"/>
        <v>1.8837309668412355E-5</v>
      </c>
      <c r="AM23" s="14">
        <f t="shared" si="14"/>
        <v>6.4382259180716678E-3</v>
      </c>
      <c r="AN23" s="14">
        <f t="shared" si="15"/>
        <v>0.99354293677225991</v>
      </c>
      <c r="AP23">
        <f t="shared" si="16"/>
        <v>-0.43553982361457955</v>
      </c>
      <c r="AQ23">
        <f t="shared" si="17"/>
        <v>1.4392757565494017</v>
      </c>
      <c r="AS23">
        <f t="shared" si="18"/>
        <v>0.6103450063979643</v>
      </c>
      <c r="AT23">
        <f t="shared" si="19"/>
        <v>4.318553821108523</v>
      </c>
    </row>
    <row r="24" spans="1:46" ht="20.100000000000001" customHeight="1" x14ac:dyDescent="0.25">
      <c r="A24" s="4" t="s">
        <v>30</v>
      </c>
      <c r="B24" s="6">
        <v>71.099999999999994</v>
      </c>
      <c r="C24" s="6">
        <v>21.4</v>
      </c>
      <c r="D24" s="3">
        <v>2.76</v>
      </c>
      <c r="E24" s="3">
        <v>1.52</v>
      </c>
      <c r="F24" s="3">
        <v>1.91</v>
      </c>
      <c r="G24" s="3">
        <v>0.16400000000000001</v>
      </c>
      <c r="H24" s="3">
        <v>1.32</v>
      </c>
      <c r="I24" s="3">
        <v>0.52200000000000002</v>
      </c>
      <c r="J24" s="3">
        <v>0.44600000000000001</v>
      </c>
      <c r="K24" s="3">
        <v>3.1699999999999999E-2</v>
      </c>
      <c r="L24" s="8">
        <f t="shared" si="0"/>
        <v>86.422744527905664</v>
      </c>
      <c r="M24">
        <f t="shared" si="1"/>
        <v>0.37680841121495334</v>
      </c>
      <c r="O24" s="6">
        <v>19.8</v>
      </c>
      <c r="P24" s="15">
        <f t="shared" si="20"/>
        <v>3.2320000000000002</v>
      </c>
      <c r="Q24" s="3">
        <v>3.28</v>
      </c>
      <c r="R24" s="17">
        <f t="shared" si="25"/>
        <v>26.312000000000001</v>
      </c>
      <c r="S24" s="18">
        <f t="shared" si="21"/>
        <v>75.250836120401331</v>
      </c>
      <c r="T24" s="18">
        <f t="shared" si="22"/>
        <v>12.283368805107935</v>
      </c>
      <c r="U24" s="19">
        <f t="shared" si="23"/>
        <v>12.465795074490725</v>
      </c>
      <c r="V24" s="15">
        <f t="shared" si="24"/>
        <v>100</v>
      </c>
      <c r="X24">
        <f t="shared" si="2"/>
        <v>1.4745939999999997</v>
      </c>
      <c r="Y24">
        <f t="shared" si="3"/>
        <v>-8.027633999999999</v>
      </c>
      <c r="AA24">
        <f t="shared" si="4"/>
        <v>-1.4826726000000003</v>
      </c>
      <c r="AB24">
        <f t="shared" si="5"/>
        <v>-15.430766</v>
      </c>
      <c r="AD24">
        <f t="shared" si="6"/>
        <v>-6.38758616316521</v>
      </c>
      <c r="AE24">
        <f t="shared" si="7"/>
        <v>0.32994056507331815</v>
      </c>
      <c r="AF24">
        <f t="shared" si="8"/>
        <v>6.0545376230899794</v>
      </c>
      <c r="AH24">
        <f t="shared" si="9"/>
        <v>1.6823121312334445E-3</v>
      </c>
      <c r="AI24">
        <f t="shared" si="10"/>
        <v>1.3908854588318043</v>
      </c>
      <c r="AJ24">
        <f t="shared" si="11"/>
        <v>426.04186798287185</v>
      </c>
      <c r="AK24" s="12">
        <f t="shared" si="12"/>
        <v>427.43443575383486</v>
      </c>
      <c r="AL24" s="14">
        <f t="shared" si="13"/>
        <v>3.9358366816339297E-6</v>
      </c>
      <c r="AM24" s="14">
        <f t="shared" si="14"/>
        <v>3.2540322970909005E-3</v>
      </c>
      <c r="AN24" s="14">
        <f t="shared" si="15"/>
        <v>0.99674203186622756</v>
      </c>
      <c r="AP24">
        <f t="shared" si="16"/>
        <v>1.0706072364490709</v>
      </c>
      <c r="AQ24">
        <f t="shared" si="17"/>
        <v>3.564583138173115</v>
      </c>
      <c r="AS24">
        <f t="shared" si="18"/>
        <v>-0.72919689065243709</v>
      </c>
      <c r="AT24">
        <f t="shared" si="19"/>
        <v>4.6418863139531474</v>
      </c>
    </row>
    <row r="25" spans="1:46" ht="20.100000000000001" customHeight="1" x14ac:dyDescent="0.25">
      <c r="A25" s="4" t="s">
        <v>31</v>
      </c>
      <c r="B25" s="6">
        <v>75.2</v>
      </c>
      <c r="C25" s="6">
        <v>20.3</v>
      </c>
      <c r="D25" s="3">
        <v>1.33</v>
      </c>
      <c r="E25" s="3">
        <v>0.83699999999999997</v>
      </c>
      <c r="F25" s="3">
        <v>0.72399999999999998</v>
      </c>
      <c r="G25" s="3">
        <v>9.4700000000000006E-2</v>
      </c>
      <c r="H25" s="3">
        <v>0.54405000000000003</v>
      </c>
      <c r="I25" s="3">
        <v>4.7899999999999998E-2</v>
      </c>
      <c r="J25" s="3">
        <v>0.249</v>
      </c>
      <c r="K25" s="3">
        <v>9.2999999999999992E-3</v>
      </c>
      <c r="L25" s="8">
        <f t="shared" si="0"/>
        <v>93.423750342285302</v>
      </c>
      <c r="M25">
        <f t="shared" si="1"/>
        <v>0.17203201970443349</v>
      </c>
      <c r="O25" s="6">
        <v>21.4</v>
      </c>
      <c r="P25" s="15">
        <f t="shared" si="20"/>
        <v>1.8420000000000001</v>
      </c>
      <c r="Q25" s="3">
        <v>1.52</v>
      </c>
      <c r="R25" s="17">
        <f t="shared" si="25"/>
        <v>24.761999999999997</v>
      </c>
      <c r="S25" s="18">
        <f t="shared" si="21"/>
        <v>86.422744527905664</v>
      </c>
      <c r="T25" s="18">
        <f t="shared" si="22"/>
        <v>7.4388175430094519</v>
      </c>
      <c r="U25" s="19">
        <f t="shared" si="23"/>
        <v>6.1384379290848887</v>
      </c>
      <c r="V25" s="15">
        <f t="shared" si="24"/>
        <v>100</v>
      </c>
      <c r="X25">
        <f t="shared" si="2"/>
        <v>1.99736285</v>
      </c>
      <c r="Y25">
        <f t="shared" si="3"/>
        <v>-6.8586110499999986</v>
      </c>
      <c r="AA25">
        <f t="shared" si="4"/>
        <v>-2.5284989500000004</v>
      </c>
      <c r="AB25">
        <f t="shared" si="5"/>
        <v>-14.412213350000002</v>
      </c>
      <c r="AD25">
        <f t="shared" si="6"/>
        <v>-7.2772856072017031</v>
      </c>
      <c r="AE25">
        <f t="shared" si="7"/>
        <v>0.32471748062120509</v>
      </c>
      <c r="AF25">
        <f t="shared" si="8"/>
        <v>6.9505328683214191</v>
      </c>
      <c r="AH25">
        <f t="shared" si="9"/>
        <v>6.9105882525724983E-4</v>
      </c>
      <c r="AI25">
        <f t="shared" si="10"/>
        <v>1.3836396857319395</v>
      </c>
      <c r="AJ25">
        <f t="shared" si="11"/>
        <v>1043.7057377517342</v>
      </c>
      <c r="AK25" s="12">
        <f t="shared" si="12"/>
        <v>1045.0900684962915</v>
      </c>
      <c r="AL25" s="14">
        <f t="shared" si="13"/>
        <v>6.6124331872330116E-7</v>
      </c>
      <c r="AM25" s="14">
        <f t="shared" si="14"/>
        <v>1.3239430049534046E-3</v>
      </c>
      <c r="AN25" s="14">
        <f t="shared" si="15"/>
        <v>0.99867539575172781</v>
      </c>
      <c r="AP25">
        <f t="shared" si="16"/>
        <v>0.47569775037005657</v>
      </c>
      <c r="AQ25">
        <f t="shared" si="17"/>
        <v>4.2546587190091874</v>
      </c>
      <c r="AS25">
        <f t="shared" si="18"/>
        <v>-0.88870476629108008</v>
      </c>
      <c r="AT25">
        <f t="shared" si="19"/>
        <v>5.817654698336284</v>
      </c>
    </row>
    <row r="26" spans="1:46" ht="20.100000000000001" customHeight="1" x14ac:dyDescent="0.25">
      <c r="A26" s="4" t="s">
        <v>32</v>
      </c>
      <c r="B26" s="6">
        <v>74.8</v>
      </c>
      <c r="C26" s="6">
        <v>22.6</v>
      </c>
      <c r="D26" s="3">
        <v>0.47499999999999998</v>
      </c>
      <c r="E26" s="3">
        <v>0.40699999999999997</v>
      </c>
      <c r="F26" s="3">
        <v>0.93100000000000005</v>
      </c>
      <c r="G26" s="3">
        <v>9.0999999999999998E-2</v>
      </c>
      <c r="H26" s="3">
        <v>0.26455000000000001</v>
      </c>
      <c r="I26" s="3">
        <v>0.2122</v>
      </c>
      <c r="J26" s="3">
        <v>0.11899999999999999</v>
      </c>
      <c r="K26" s="3">
        <v>3.3999999999999998E-3</v>
      </c>
      <c r="L26" s="8">
        <f t="shared" si="0"/>
        <v>96.23675946132964</v>
      </c>
      <c r="M26">
        <f t="shared" si="1"/>
        <v>0.10146681415929203</v>
      </c>
      <c r="O26" s="6">
        <v>20.3</v>
      </c>
      <c r="P26" s="15">
        <f t="shared" si="20"/>
        <v>0.59194999999999998</v>
      </c>
      <c r="Q26" s="3">
        <v>0.83699999999999997</v>
      </c>
      <c r="R26" s="17">
        <f t="shared" si="25"/>
        <v>21.728950000000001</v>
      </c>
      <c r="S26" s="18">
        <f t="shared" si="21"/>
        <v>93.423750342285288</v>
      </c>
      <c r="T26" s="18">
        <f t="shared" si="22"/>
        <v>2.7242457642914175</v>
      </c>
      <c r="U26" s="19">
        <f t="shared" si="23"/>
        <v>3.8520038934232899</v>
      </c>
      <c r="V26" s="15">
        <f t="shared" si="24"/>
        <v>99.999999999999986</v>
      </c>
      <c r="X26">
        <f t="shared" si="2"/>
        <v>3.1489161500000034</v>
      </c>
      <c r="Y26">
        <f t="shared" si="3"/>
        <v>-6.5052241499999992</v>
      </c>
      <c r="AA26">
        <f t="shared" si="4"/>
        <v>-2.3368167499999997</v>
      </c>
      <c r="AB26">
        <f t="shared" si="5"/>
        <v>-14.561340750000001</v>
      </c>
      <c r="AD26">
        <f t="shared" si="6"/>
        <v>-7.5152646220115038</v>
      </c>
      <c r="AE26">
        <f t="shared" si="7"/>
        <v>0.58266796244574814</v>
      </c>
      <c r="AF26">
        <f t="shared" si="8"/>
        <v>6.9293297888157799</v>
      </c>
      <c r="AH26">
        <f t="shared" si="9"/>
        <v>5.4470585640792595E-4</v>
      </c>
      <c r="AI26">
        <f t="shared" si="10"/>
        <v>1.7908098763986071</v>
      </c>
      <c r="AJ26">
        <f t="shared" si="11"/>
        <v>1021.8089223138727</v>
      </c>
      <c r="AK26" s="12">
        <f t="shared" si="12"/>
        <v>1023.6002768961278</v>
      </c>
      <c r="AL26" s="14">
        <f t="shared" si="13"/>
        <v>5.3214703893949931E-7</v>
      </c>
      <c r="AM26" s="14">
        <f t="shared" si="14"/>
        <v>1.7495207033637152E-3</v>
      </c>
      <c r="AN26" s="14">
        <f t="shared" si="15"/>
        <v>0.99824994714959736</v>
      </c>
      <c r="AP26">
        <f t="shared" si="16"/>
        <v>3.5265595217516532</v>
      </c>
      <c r="AQ26">
        <f t="shared" si="17"/>
        <v>5.2269917431854864</v>
      </c>
      <c r="AS26">
        <f t="shared" si="18"/>
        <v>-1.2869633429417116</v>
      </c>
      <c r="AT26">
        <f t="shared" si="19"/>
        <v>6.5445650306623193</v>
      </c>
    </row>
    <row r="27" spans="1:46" x14ac:dyDescent="0.25">
      <c r="B27" s="10" t="s">
        <v>52</v>
      </c>
      <c r="C27" s="10" t="s">
        <v>58</v>
      </c>
      <c r="D27" s="10" t="s">
        <v>52</v>
      </c>
      <c r="E27" s="10" t="s">
        <v>52</v>
      </c>
      <c r="F27" s="10" t="s">
        <v>52</v>
      </c>
      <c r="G27" s="10" t="s">
        <v>52</v>
      </c>
      <c r="H27" s="10" t="s">
        <v>52</v>
      </c>
      <c r="I27" s="10" t="s">
        <v>52</v>
      </c>
      <c r="J27" s="10" t="s">
        <v>52</v>
      </c>
      <c r="K27" s="10" t="s">
        <v>52</v>
      </c>
      <c r="O27" s="6">
        <v>22.6</v>
      </c>
      <c r="P27" s="15">
        <f t="shared" si="20"/>
        <v>0.47675000000000001</v>
      </c>
      <c r="Q27" s="3">
        <v>0.40699999999999997</v>
      </c>
      <c r="R27" s="17">
        <f t="shared" si="25"/>
        <v>23.483750000000001</v>
      </c>
      <c r="S27" s="18">
        <f t="shared" si="21"/>
        <v>96.23675946132964</v>
      </c>
      <c r="T27" s="18">
        <f t="shared" si="22"/>
        <v>2.0301272156278278</v>
      </c>
      <c r="U27" s="19">
        <f t="shared" si="23"/>
        <v>1.7331133230425293</v>
      </c>
      <c r="V27" s="15">
        <f t="shared" si="24"/>
        <v>100</v>
      </c>
    </row>
    <row r="28" spans="1:46" x14ac:dyDescent="0.25">
      <c r="B28" s="10">
        <f>SUM(B3:B27)/23</f>
        <v>74.343478260869574</v>
      </c>
      <c r="C28" s="1">
        <f t="shared" ref="C28:K28" si="26">SUM(C3:C26)/23</f>
        <v>21.282608695652179</v>
      </c>
      <c r="D28" s="1">
        <f t="shared" si="26"/>
        <v>3.3968260869565214</v>
      </c>
      <c r="E28" s="1">
        <f t="shared" si="26"/>
        <v>1.8860434782608697</v>
      </c>
      <c r="F28" s="1">
        <f t="shared" si="26"/>
        <v>1.2480000000000002</v>
      </c>
      <c r="G28" s="1">
        <f t="shared" si="26"/>
        <v>0.1633086956521739</v>
      </c>
      <c r="H28" s="1">
        <f t="shared" si="26"/>
        <v>1.2732195652173914</v>
      </c>
      <c r="I28" s="1">
        <f t="shared" si="26"/>
        <v>0.57864739130434784</v>
      </c>
      <c r="J28" s="1">
        <f t="shared" si="26"/>
        <v>0.53254782608695661</v>
      </c>
      <c r="K28" s="1">
        <f t="shared" si="26"/>
        <v>0.11472989130434783</v>
      </c>
    </row>
    <row r="69" spans="4:43" x14ac:dyDescent="0.25">
      <c r="D69" s="10" t="s">
        <v>39</v>
      </c>
      <c r="E69" s="10" t="s">
        <v>39</v>
      </c>
      <c r="F69" s="10" t="s">
        <v>39</v>
      </c>
      <c r="G69" s="10" t="s">
        <v>39</v>
      </c>
      <c r="H69" s="10" t="s">
        <v>39</v>
      </c>
      <c r="I69" s="10" t="s">
        <v>39</v>
      </c>
      <c r="J69" s="10" t="s">
        <v>39</v>
      </c>
      <c r="K69" s="10" t="s">
        <v>39</v>
      </c>
      <c r="L69" s="10" t="s">
        <v>39</v>
      </c>
      <c r="M69" s="10" t="s">
        <v>39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O69" t="s">
        <v>44</v>
      </c>
      <c r="AP69" t="s">
        <v>44</v>
      </c>
      <c r="AQ69" t="s">
        <v>44</v>
      </c>
    </row>
    <row r="70" spans="4:43" x14ac:dyDescent="0.25">
      <c r="D70" s="1" t="s">
        <v>38</v>
      </c>
      <c r="E70" s="1" t="s">
        <v>1</v>
      </c>
      <c r="F70" s="1" t="s">
        <v>5</v>
      </c>
      <c r="G70" s="1" t="s">
        <v>8</v>
      </c>
      <c r="H70" s="1" t="s">
        <v>4</v>
      </c>
      <c r="I70" s="1" t="s">
        <v>0</v>
      </c>
      <c r="J70" s="1" t="s">
        <v>33</v>
      </c>
      <c r="K70" s="1" t="s">
        <v>6</v>
      </c>
      <c r="L70" t="s">
        <v>3</v>
      </c>
      <c r="M70" t="s">
        <v>7</v>
      </c>
      <c r="Z70" t="s">
        <v>38</v>
      </c>
      <c r="AA70" t="s">
        <v>1</v>
      </c>
      <c r="AB70" t="s">
        <v>5</v>
      </c>
      <c r="AC70" t="s">
        <v>8</v>
      </c>
      <c r="AD70" t="s">
        <v>4</v>
      </c>
      <c r="AE70" t="s">
        <v>0</v>
      </c>
      <c r="AF70" t="s">
        <v>33</v>
      </c>
      <c r="AO70" t="s">
        <v>6</v>
      </c>
      <c r="AP70" t="s">
        <v>3</v>
      </c>
      <c r="AQ70" t="s">
        <v>7</v>
      </c>
    </row>
    <row r="71" spans="4:43" x14ac:dyDescent="0.25">
      <c r="D71" s="1">
        <v>1.0716560509554141</v>
      </c>
      <c r="E71" s="1">
        <v>1.0526315789473684</v>
      </c>
      <c r="F71" s="1">
        <v>0.16904761904761903</v>
      </c>
      <c r="G71" s="1">
        <v>0.95333333333333337</v>
      </c>
      <c r="H71" s="1">
        <v>0.6470588235294118</v>
      </c>
      <c r="I71" s="1">
        <v>0.58636363636363631</v>
      </c>
      <c r="J71" s="1">
        <v>0.3923076923076923</v>
      </c>
      <c r="K71" s="1">
        <v>0.86599999999999999</v>
      </c>
      <c r="L71">
        <v>1.0058823529411764</v>
      </c>
      <c r="M71">
        <v>5.1374999999999993</v>
      </c>
      <c r="Z71">
        <v>1.0716560509554141</v>
      </c>
      <c r="AA71">
        <v>0.84656084656084662</v>
      </c>
      <c r="AB71">
        <v>0.5461538461538461</v>
      </c>
      <c r="AC71">
        <v>0.66</v>
      </c>
      <c r="AD71">
        <v>0.59459459459459463</v>
      </c>
      <c r="AE71">
        <v>0.58636363636363631</v>
      </c>
      <c r="AF71">
        <v>1.2750000000000001</v>
      </c>
      <c r="AO71">
        <v>0.433</v>
      </c>
      <c r="AP71">
        <v>0.28500000000000003</v>
      </c>
      <c r="AQ71">
        <v>3.7363636363636363</v>
      </c>
    </row>
    <row r="72" spans="4:43" x14ac:dyDescent="0.25">
      <c r="D72" s="1">
        <v>1.1178343949044587</v>
      </c>
      <c r="E72" s="1">
        <v>1.4276315789473684</v>
      </c>
      <c r="F72" s="1">
        <v>0.1138095238095238</v>
      </c>
      <c r="G72" s="1">
        <v>0.85777777777777775</v>
      </c>
      <c r="H72" s="1">
        <v>0.62352941176470589</v>
      </c>
      <c r="I72" s="1">
        <v>0.47272727272727272</v>
      </c>
      <c r="J72" s="1">
        <v>0.38461538461538464</v>
      </c>
      <c r="K72" s="1">
        <v>1.266</v>
      </c>
      <c r="L72">
        <v>0.77647058823529413</v>
      </c>
      <c r="M72">
        <v>0.53874999999999995</v>
      </c>
      <c r="Z72">
        <v>1.1178343949044587</v>
      </c>
      <c r="AA72">
        <v>1.1481481481481481</v>
      </c>
      <c r="AB72">
        <v>0.36769230769230765</v>
      </c>
      <c r="AC72">
        <v>0.5938461538461538</v>
      </c>
      <c r="AD72">
        <v>0.572972972972973</v>
      </c>
      <c r="AE72">
        <v>0.47272727272727272</v>
      </c>
      <c r="AF72">
        <v>1.25</v>
      </c>
      <c r="AO72">
        <v>0.63300000000000001</v>
      </c>
      <c r="AP72">
        <v>0.22000000000000003</v>
      </c>
      <c r="AQ72">
        <v>0.39181818181818179</v>
      </c>
    </row>
    <row r="73" spans="4:43" x14ac:dyDescent="0.25">
      <c r="D73" s="1">
        <v>1.1449044585987262</v>
      </c>
      <c r="E73" s="1">
        <v>1.0263157894736843</v>
      </c>
      <c r="F73" s="1">
        <v>0.21023809523809522</v>
      </c>
      <c r="G73" s="1">
        <v>0.9866666666666668</v>
      </c>
      <c r="H73" s="1">
        <v>0.75882352941176479</v>
      </c>
      <c r="I73" s="1">
        <v>0.65454545454545443</v>
      </c>
      <c r="J73" s="1">
        <v>0.41538461538461541</v>
      </c>
      <c r="K73" s="1">
        <v>1.288</v>
      </c>
      <c r="L73">
        <v>0.93529411764705872</v>
      </c>
      <c r="M73">
        <v>0.88625000000000009</v>
      </c>
      <c r="Z73">
        <v>1.1449044585987262</v>
      </c>
      <c r="AA73">
        <v>0.82539682539682546</v>
      </c>
      <c r="AB73">
        <v>0.67923076923076919</v>
      </c>
      <c r="AC73">
        <v>0.68307692307692314</v>
      </c>
      <c r="AD73">
        <v>0.69729729729729728</v>
      </c>
      <c r="AE73">
        <v>0.65454545454545443</v>
      </c>
      <c r="AF73">
        <v>1.35</v>
      </c>
      <c r="AO73">
        <v>0.64400000000000002</v>
      </c>
      <c r="AP73">
        <v>0.26500000000000001</v>
      </c>
      <c r="AQ73">
        <v>0.64454545454545453</v>
      </c>
    </row>
    <row r="74" spans="4:43" x14ac:dyDescent="0.25">
      <c r="D74" s="1">
        <v>1.1624203821656052</v>
      </c>
      <c r="E74" s="1">
        <v>1.3289473684210527</v>
      </c>
      <c r="F74" s="1">
        <v>7.1428571428571425E-2</v>
      </c>
      <c r="G74" s="1">
        <v>0.55555555555555558</v>
      </c>
      <c r="H74" s="1">
        <v>0.37647058823529411</v>
      </c>
      <c r="I74" s="1">
        <v>0.71818181818181814</v>
      </c>
      <c r="J74" s="1">
        <v>0.30769230769230771</v>
      </c>
      <c r="K74" s="1">
        <v>0.76800000000000002</v>
      </c>
      <c r="L74">
        <v>0.78235294117647058</v>
      </c>
      <c r="M74">
        <v>0.28999999999999998</v>
      </c>
      <c r="Z74">
        <v>1.1624203821656052</v>
      </c>
      <c r="AA74">
        <v>1.0687830687830688</v>
      </c>
      <c r="AB74">
        <v>0.23076923076923075</v>
      </c>
      <c r="AC74">
        <v>0.38461538461538464</v>
      </c>
      <c r="AD74">
        <v>0.34594594594594591</v>
      </c>
      <c r="AE74">
        <v>0.71818181818181814</v>
      </c>
      <c r="AF74">
        <v>1</v>
      </c>
      <c r="AO74">
        <v>0.38400000000000001</v>
      </c>
      <c r="AP74">
        <v>0.22166666666666668</v>
      </c>
      <c r="AQ74">
        <v>0.21090909090909091</v>
      </c>
    </row>
    <row r="75" spans="4:43" x14ac:dyDescent="0.25">
      <c r="D75" s="1">
        <v>1.1640127388535031</v>
      </c>
      <c r="E75" s="1">
        <v>1.6315789473684212</v>
      </c>
      <c r="F75" s="1">
        <v>7.5404761904761891E-2</v>
      </c>
      <c r="G75" s="1">
        <v>0.13044444444444445</v>
      </c>
      <c r="H75" s="1">
        <v>9.8235294117647073E-2</v>
      </c>
      <c r="I75" s="1">
        <v>0.40909090909090906</v>
      </c>
      <c r="J75" s="1">
        <v>3.0769230769230767E-2</v>
      </c>
      <c r="K75" s="1">
        <v>0.23</v>
      </c>
      <c r="L75">
        <v>0.53235294117647058</v>
      </c>
      <c r="M75">
        <v>5.5E-2</v>
      </c>
      <c r="Z75">
        <v>1.1640127388535031</v>
      </c>
      <c r="AA75">
        <v>1.3121693121693123</v>
      </c>
      <c r="AB75">
        <v>0.24361538461538459</v>
      </c>
      <c r="AC75">
        <v>9.0307692307692297E-2</v>
      </c>
      <c r="AD75">
        <v>9.0270270270270264E-2</v>
      </c>
      <c r="AE75">
        <v>0.40909090909090906</v>
      </c>
      <c r="AF75">
        <v>0.1</v>
      </c>
      <c r="AO75">
        <v>0.115</v>
      </c>
      <c r="AP75">
        <v>0.15083333333333335</v>
      </c>
      <c r="AQ75">
        <v>0.04</v>
      </c>
    </row>
    <row r="76" spans="4:43" x14ac:dyDescent="0.25">
      <c r="D76" s="1">
        <v>1.1496815286624205</v>
      </c>
      <c r="E76" s="1">
        <v>1.2828947368421053</v>
      </c>
      <c r="F76" s="1">
        <v>0.12357142857142857</v>
      </c>
      <c r="G76" s="1">
        <v>0.76666666666666672</v>
      </c>
      <c r="H76" s="1">
        <v>0.57352941176470584</v>
      </c>
      <c r="I76" s="1">
        <v>0.63181818181818172</v>
      </c>
      <c r="J76" s="1">
        <v>0.32051282051282054</v>
      </c>
      <c r="K76" s="1">
        <v>1.0960000000000001</v>
      </c>
      <c r="L76">
        <v>1.088235294117647</v>
      </c>
      <c r="M76">
        <v>1.2999999999999998</v>
      </c>
      <c r="Z76">
        <v>1.1496815286624205</v>
      </c>
      <c r="AA76">
        <v>1.0317460317460319</v>
      </c>
      <c r="AB76">
        <v>0.39923076923076922</v>
      </c>
      <c r="AC76">
        <v>0.53076923076923077</v>
      </c>
      <c r="AD76">
        <v>0.52702702702702697</v>
      </c>
      <c r="AE76">
        <v>0.63181818181818172</v>
      </c>
      <c r="AF76">
        <v>1.0416666666666667</v>
      </c>
      <c r="AO76">
        <v>0.54800000000000004</v>
      </c>
      <c r="AP76">
        <v>0.30833333333333335</v>
      </c>
      <c r="AQ76">
        <v>0.94545454545454544</v>
      </c>
    </row>
    <row r="77" spans="4:43" x14ac:dyDescent="0.25">
      <c r="D77" s="1">
        <v>1.1337579617834397</v>
      </c>
      <c r="E77" s="1">
        <v>1.263157894736842</v>
      </c>
      <c r="F77" s="1">
        <v>0.24523809523809523</v>
      </c>
      <c r="G77" s="1">
        <v>0.82444444444444442</v>
      </c>
      <c r="H77" s="1">
        <v>0.7</v>
      </c>
      <c r="I77" s="1">
        <v>0.6</v>
      </c>
      <c r="J77" s="1">
        <v>0.37179487179487181</v>
      </c>
      <c r="K77" s="1">
        <v>1.3</v>
      </c>
      <c r="L77">
        <v>1.2705882352941176</v>
      </c>
      <c r="M77">
        <v>0.78625</v>
      </c>
      <c r="Z77">
        <v>1.1337579617834397</v>
      </c>
      <c r="AA77">
        <v>1.0158730158730158</v>
      </c>
      <c r="AB77">
        <v>0.79230769230769227</v>
      </c>
      <c r="AC77">
        <v>0.57076923076923081</v>
      </c>
      <c r="AD77">
        <v>0.64324324324324322</v>
      </c>
      <c r="AE77">
        <v>0.6</v>
      </c>
      <c r="AF77">
        <v>1.2083333333333333</v>
      </c>
      <c r="AO77">
        <v>0.65</v>
      </c>
      <c r="AP77">
        <v>0.36</v>
      </c>
      <c r="AQ77">
        <v>0.57181818181818178</v>
      </c>
    </row>
    <row r="78" spans="4:43" x14ac:dyDescent="0.25">
      <c r="D78" s="1">
        <v>1.1242038216560508</v>
      </c>
      <c r="E78" s="1">
        <v>1.4605263157894737</v>
      </c>
      <c r="F78" s="1">
        <v>0.12023809523809523</v>
      </c>
      <c r="G78" s="1">
        <v>0.61111111111111116</v>
      </c>
      <c r="H78" s="1">
        <v>0.4264705882352941</v>
      </c>
      <c r="I78" s="1">
        <v>0.79545454545454541</v>
      </c>
      <c r="J78" s="1">
        <v>0.30769230769230771</v>
      </c>
      <c r="K78" s="1">
        <v>0.83399999999999996</v>
      </c>
      <c r="L78">
        <v>0.84705882352941164</v>
      </c>
      <c r="M78">
        <v>0.28500000000000003</v>
      </c>
      <c r="Z78">
        <v>1.1242038216560508</v>
      </c>
      <c r="AA78">
        <v>1.1746031746031746</v>
      </c>
      <c r="AB78">
        <v>0.38846153846153847</v>
      </c>
      <c r="AC78">
        <v>0.42307692307692307</v>
      </c>
      <c r="AD78">
        <v>0.39189189189189189</v>
      </c>
      <c r="AE78">
        <v>0.79545454545454541</v>
      </c>
      <c r="AF78">
        <v>1</v>
      </c>
      <c r="AO78">
        <v>0.41699999999999998</v>
      </c>
      <c r="AP78">
        <v>0.24</v>
      </c>
      <c r="AQ78">
        <v>0.20727272727272728</v>
      </c>
    </row>
    <row r="79" spans="4:43" x14ac:dyDescent="0.25">
      <c r="D79" s="1">
        <v>1.1687898089171975</v>
      </c>
      <c r="E79" s="1">
        <v>1.4539473684210529</v>
      </c>
      <c r="F79" s="1">
        <v>2.8571428571428571E-2</v>
      </c>
      <c r="G79" s="1">
        <v>0.94599999999999995</v>
      </c>
      <c r="H79" s="1">
        <v>0.19382352941176473</v>
      </c>
      <c r="I79" s="1">
        <v>0.31863636363636361</v>
      </c>
      <c r="J79" s="1">
        <v>0.14102564102564105</v>
      </c>
      <c r="K79" s="1">
        <v>0.15720000000000001</v>
      </c>
      <c r="L79">
        <v>0.57117647058823529</v>
      </c>
      <c r="M79">
        <v>1.1598437499999998</v>
      </c>
      <c r="Z79">
        <v>1.1687898089171975</v>
      </c>
      <c r="AA79">
        <v>1.1693121693121695</v>
      </c>
      <c r="AB79">
        <v>9.2307692307692299E-2</v>
      </c>
      <c r="AC79">
        <v>0.65492307692307683</v>
      </c>
      <c r="AD79">
        <v>0.17810810810810812</v>
      </c>
      <c r="AE79">
        <v>0.31863636363636361</v>
      </c>
      <c r="AF79">
        <v>0.45833333333333337</v>
      </c>
      <c r="AO79">
        <v>7.8600000000000003E-2</v>
      </c>
      <c r="AP79">
        <v>0.16183333333333336</v>
      </c>
      <c r="AQ79">
        <v>0.84352272727272715</v>
      </c>
    </row>
    <row r="80" spans="4:43" x14ac:dyDescent="0.25">
      <c r="D80" s="1">
        <v>1.1560509554140126</v>
      </c>
      <c r="E80" s="1">
        <v>1.1907894736842106</v>
      </c>
      <c r="F80" s="1">
        <v>9.9047619047619037E-2</v>
      </c>
      <c r="G80" s="1">
        <v>0.86888888888888893</v>
      </c>
      <c r="H80" s="1">
        <v>0.65294117647058836</v>
      </c>
      <c r="I80" s="1">
        <v>0.47272727272727272</v>
      </c>
      <c r="J80" s="1">
        <v>0.34358974358974359</v>
      </c>
      <c r="K80" s="1">
        <v>1.3520000000000001</v>
      </c>
      <c r="L80">
        <v>0.87058823529411755</v>
      </c>
      <c r="M80">
        <v>0.86499999999999999</v>
      </c>
      <c r="Z80">
        <v>1.1560509554140126</v>
      </c>
      <c r="AA80">
        <v>0.95767195767195779</v>
      </c>
      <c r="AB80">
        <v>0.31999999999999995</v>
      </c>
      <c r="AC80">
        <v>0.60153846153846158</v>
      </c>
      <c r="AD80">
        <v>0.6</v>
      </c>
      <c r="AE80">
        <v>0.47272727272727272</v>
      </c>
      <c r="AF80">
        <v>1.1166666666666667</v>
      </c>
      <c r="AO80">
        <v>0.67600000000000005</v>
      </c>
      <c r="AP80">
        <v>0.24666666666666667</v>
      </c>
      <c r="AQ80">
        <v>0.62909090909090903</v>
      </c>
    </row>
    <row r="81" spans="4:43" x14ac:dyDescent="0.25">
      <c r="D81" s="1">
        <v>1.1385350318471339</v>
      </c>
      <c r="E81" s="1">
        <v>1.5000000000000002</v>
      </c>
      <c r="F81" s="1">
        <v>3.8809523809523808E-2</v>
      </c>
      <c r="G81" s="1">
        <v>0.66666666666666663</v>
      </c>
      <c r="H81" s="1">
        <v>0.24088235294117646</v>
      </c>
      <c r="I81" s="1">
        <v>0.6</v>
      </c>
      <c r="J81" s="1">
        <v>0.16666666666666669</v>
      </c>
      <c r="K81" s="1">
        <v>0.41599999999999998</v>
      </c>
      <c r="L81">
        <v>0.92352941176470582</v>
      </c>
      <c r="M81">
        <v>0.11</v>
      </c>
      <c r="Z81">
        <v>1.1385350318471339</v>
      </c>
      <c r="AA81">
        <v>1.2063492063492065</v>
      </c>
      <c r="AB81">
        <v>0.12538461538461537</v>
      </c>
      <c r="AC81">
        <v>0.46153846153846156</v>
      </c>
      <c r="AD81">
        <v>0.22135135135135134</v>
      </c>
      <c r="AE81">
        <v>0.6</v>
      </c>
      <c r="AF81">
        <v>0.54166666666666674</v>
      </c>
      <c r="AO81">
        <v>0.20799999999999999</v>
      </c>
      <c r="AP81">
        <v>0.26166666666666666</v>
      </c>
      <c r="AQ81">
        <v>0.08</v>
      </c>
    </row>
    <row r="82" spans="4:43" x14ac:dyDescent="0.25">
      <c r="D82" s="1">
        <v>1.1640127388535031</v>
      </c>
      <c r="E82" s="1">
        <v>1.4671052631578949</v>
      </c>
      <c r="F82" s="1">
        <v>1.6309523809523808E-2</v>
      </c>
      <c r="G82" s="1">
        <v>0.42666666666666664</v>
      </c>
      <c r="H82" s="1">
        <v>0.29411764705882354</v>
      </c>
      <c r="I82" s="1">
        <v>0.48636363636363633</v>
      </c>
      <c r="J82" s="1">
        <v>0.2</v>
      </c>
      <c r="K82" s="1">
        <v>0.59799999999999998</v>
      </c>
      <c r="L82">
        <v>0.78235294117647058</v>
      </c>
      <c r="M82">
        <v>0.35875000000000001</v>
      </c>
      <c r="Z82">
        <v>1.1640127388535031</v>
      </c>
      <c r="AA82">
        <v>1.17989417989418</v>
      </c>
      <c r="AB82">
        <v>5.2692307692307698E-2</v>
      </c>
      <c r="AC82">
        <v>0.29538461538461536</v>
      </c>
      <c r="AD82">
        <v>0.27027027027027023</v>
      </c>
      <c r="AE82">
        <v>0.48636363636363633</v>
      </c>
      <c r="AF82">
        <v>0.65</v>
      </c>
      <c r="AO82">
        <v>0.29899999999999999</v>
      </c>
      <c r="AP82">
        <v>0.22166666666666668</v>
      </c>
      <c r="AQ82">
        <v>0.26090909090909092</v>
      </c>
    </row>
    <row r="83" spans="4:43" x14ac:dyDescent="0.25">
      <c r="D83" s="1">
        <v>1.0429936305732486</v>
      </c>
      <c r="E83" s="1">
        <v>1.2039473684210527</v>
      </c>
      <c r="F83" s="1">
        <v>0.40952380952380951</v>
      </c>
      <c r="G83" s="1">
        <v>1.1644444444444444</v>
      </c>
      <c r="H83" s="1">
        <v>0.70882352941176474</v>
      </c>
      <c r="I83" s="1">
        <v>0.40818181818181815</v>
      </c>
      <c r="J83" s="1">
        <v>0.42307692307692307</v>
      </c>
      <c r="K83" s="1">
        <v>1.25</v>
      </c>
      <c r="L83">
        <v>2.8705882352941172</v>
      </c>
      <c r="M83">
        <v>16</v>
      </c>
      <c r="Z83">
        <v>1.0429936305732486</v>
      </c>
      <c r="AA83">
        <v>0.96825396825396837</v>
      </c>
      <c r="AB83">
        <v>1.323076923076923</v>
      </c>
      <c r="AC83">
        <v>0.80615384615384622</v>
      </c>
      <c r="AD83">
        <v>0.65135135135135136</v>
      </c>
      <c r="AE83">
        <v>0.40818181818181815</v>
      </c>
      <c r="AF83">
        <v>1.375</v>
      </c>
      <c r="AO83">
        <v>0.625</v>
      </c>
      <c r="AP83">
        <v>0.81333333333333335</v>
      </c>
      <c r="AQ83">
        <v>11.636363636363637</v>
      </c>
    </row>
    <row r="84" spans="4:43" x14ac:dyDescent="0.25">
      <c r="D84" s="1">
        <v>1.1019108280254779</v>
      </c>
      <c r="E84" s="1">
        <v>1.4144736842105263</v>
      </c>
      <c r="F84" s="1">
        <v>0.12261904761904761</v>
      </c>
      <c r="G84" s="1">
        <v>0.46222222222222226</v>
      </c>
      <c r="H84" s="1">
        <v>0.94705882352941184</v>
      </c>
      <c r="I84" s="1">
        <v>0.78636363636363626</v>
      </c>
      <c r="J84" s="1">
        <v>0.49230769230769228</v>
      </c>
      <c r="K84" s="1">
        <v>1.79</v>
      </c>
      <c r="L84">
        <v>0.69411764705882339</v>
      </c>
      <c r="M84">
        <v>0.61250000000000004</v>
      </c>
      <c r="Z84">
        <v>1.1019108280254779</v>
      </c>
      <c r="AA84">
        <v>1.1375661375661377</v>
      </c>
      <c r="AB84">
        <v>0.39615384615384613</v>
      </c>
      <c r="AC84">
        <v>0.32</v>
      </c>
      <c r="AD84">
        <v>0.87027027027027026</v>
      </c>
      <c r="AE84">
        <v>0.78636363636363626</v>
      </c>
      <c r="AF84">
        <v>1.6</v>
      </c>
      <c r="AO84">
        <v>0.89500000000000002</v>
      </c>
      <c r="AP84">
        <v>0.19666666666666666</v>
      </c>
      <c r="AQ84">
        <v>0.44545454545454549</v>
      </c>
    </row>
    <row r="85" spans="4:43" x14ac:dyDescent="0.25">
      <c r="D85" s="1">
        <v>1.1305732484076434</v>
      </c>
      <c r="E85" s="1">
        <v>1.1578947368421053</v>
      </c>
      <c r="F85" s="1">
        <v>0.22285714285714286</v>
      </c>
      <c r="G85" s="1">
        <v>1.0777777777777777</v>
      </c>
      <c r="H85" s="1">
        <v>0.87647058823529411</v>
      </c>
      <c r="I85" s="1">
        <v>0.44590909090909087</v>
      </c>
      <c r="J85" s="1">
        <v>0.4966666666666667</v>
      </c>
      <c r="K85" s="1">
        <v>1.6279999999999999</v>
      </c>
      <c r="L85">
        <v>1</v>
      </c>
      <c r="M85">
        <v>0.55500000000000005</v>
      </c>
      <c r="Z85">
        <v>1.1305732484076434</v>
      </c>
      <c r="AA85">
        <v>0.93121693121693139</v>
      </c>
      <c r="AB85">
        <v>0.72</v>
      </c>
      <c r="AC85">
        <v>0.74615384615384606</v>
      </c>
      <c r="AD85">
        <v>0.80540540540540539</v>
      </c>
      <c r="AE85">
        <v>0.44590909090909087</v>
      </c>
      <c r="AF85">
        <v>1.6141666666666667</v>
      </c>
      <c r="AO85">
        <v>0.81399999999999995</v>
      </c>
      <c r="AP85">
        <v>0.28333333333333338</v>
      </c>
      <c r="AQ85">
        <v>0.40363636363636363</v>
      </c>
    </row>
    <row r="86" spans="4:43" x14ac:dyDescent="0.25">
      <c r="D86" s="1">
        <v>1.1449044585987262</v>
      </c>
      <c r="E86" s="1">
        <v>1.5131578947368423</v>
      </c>
      <c r="F86" s="1">
        <v>5.8857142857142858E-2</v>
      </c>
      <c r="G86" s="1">
        <v>0.49555555555555553</v>
      </c>
      <c r="H86" s="1">
        <v>0.38823529411764707</v>
      </c>
      <c r="I86" s="1">
        <v>0.36454545454545456</v>
      </c>
      <c r="J86" s="1">
        <v>0.22000000000000003</v>
      </c>
      <c r="K86" s="1">
        <v>0.86399999999999999</v>
      </c>
      <c r="L86">
        <v>0.48176470588235293</v>
      </c>
      <c r="M86">
        <v>0.24125000000000002</v>
      </c>
      <c r="Z86">
        <v>1.1449044585987262</v>
      </c>
      <c r="AA86">
        <v>1.216931216931217</v>
      </c>
      <c r="AB86">
        <v>0.19015384615384615</v>
      </c>
      <c r="AC86">
        <v>0.34307692307692306</v>
      </c>
      <c r="AD86">
        <v>0.35675675675675678</v>
      </c>
      <c r="AE86">
        <v>0.36454545454545456</v>
      </c>
      <c r="AF86">
        <v>0.71500000000000008</v>
      </c>
      <c r="AO86">
        <v>0.432</v>
      </c>
      <c r="AP86">
        <v>0.13650000000000001</v>
      </c>
      <c r="AQ86">
        <v>0.17545454545454547</v>
      </c>
    </row>
    <row r="87" spans="4:43" x14ac:dyDescent="0.25">
      <c r="D87" s="1">
        <v>1.1242038216560508</v>
      </c>
      <c r="E87" s="1">
        <v>1.3157894736842106</v>
      </c>
      <c r="F87" s="1">
        <v>0.17190476190476189</v>
      </c>
      <c r="G87" s="1">
        <v>0.88444444444444448</v>
      </c>
      <c r="H87" s="1">
        <v>0.80588235294117661</v>
      </c>
      <c r="I87" s="1">
        <v>0.35136363636363632</v>
      </c>
      <c r="J87" s="1">
        <v>0.45666666666666672</v>
      </c>
      <c r="K87" s="1">
        <v>1.5880000000000001</v>
      </c>
      <c r="L87">
        <v>0.93529411764705872</v>
      </c>
      <c r="M87">
        <v>0.505</v>
      </c>
      <c r="Z87">
        <v>1.1242038216560508</v>
      </c>
      <c r="AA87">
        <v>1.0582010582010584</v>
      </c>
      <c r="AB87">
        <v>0.55538461538461537</v>
      </c>
      <c r="AC87">
        <v>0.61230769230769233</v>
      </c>
      <c r="AD87">
        <v>0.74054054054054053</v>
      </c>
      <c r="AE87">
        <v>0.35136363636363632</v>
      </c>
      <c r="AF87">
        <v>1.4841666666666669</v>
      </c>
      <c r="AO87">
        <v>0.79400000000000004</v>
      </c>
      <c r="AP87">
        <v>0.26500000000000001</v>
      </c>
      <c r="AQ87">
        <v>0.36727272727272725</v>
      </c>
    </row>
    <row r="88" spans="4:43" x14ac:dyDescent="0.25">
      <c r="D88" s="1">
        <v>1.0780254777070064</v>
      </c>
      <c r="E88" s="1">
        <v>1.2894736842105265</v>
      </c>
      <c r="F88" s="1">
        <v>0.28095238095238095</v>
      </c>
      <c r="G88" s="1">
        <v>1.3355555555555556</v>
      </c>
      <c r="H88" s="1">
        <v>0.74705882352941178</v>
      </c>
      <c r="I88" s="1">
        <v>0.73636363636363633</v>
      </c>
      <c r="J88" s="1">
        <v>0.42333333333333334</v>
      </c>
      <c r="K88" s="1">
        <v>1.5980000000000001</v>
      </c>
      <c r="L88">
        <v>1.5411764705882351</v>
      </c>
      <c r="M88">
        <v>0.91999999999999993</v>
      </c>
      <c r="Z88">
        <v>1.0780254777070064</v>
      </c>
      <c r="AA88">
        <v>1.0370370370370372</v>
      </c>
      <c r="AB88">
        <v>0.90769230769230758</v>
      </c>
      <c r="AC88">
        <v>0.92461538461538462</v>
      </c>
      <c r="AD88">
        <v>0.68648648648648647</v>
      </c>
      <c r="AE88">
        <v>0.73636363636363633</v>
      </c>
      <c r="AF88">
        <v>1.3758333333333335</v>
      </c>
      <c r="AO88">
        <v>0.79900000000000004</v>
      </c>
      <c r="AP88">
        <v>0.4366666666666667</v>
      </c>
      <c r="AQ88">
        <v>0.66909090909090907</v>
      </c>
    </row>
    <row r="89" spans="4:43" x14ac:dyDescent="0.25">
      <c r="D89" s="1">
        <v>1.1194267515923566</v>
      </c>
      <c r="E89" s="1">
        <v>1.1710526315789476</v>
      </c>
      <c r="F89" s="1">
        <v>0.11809523809523809</v>
      </c>
      <c r="G89" s="1">
        <v>1.1066666666666667</v>
      </c>
      <c r="H89" s="1">
        <v>0.80882352941176472</v>
      </c>
      <c r="I89" s="1">
        <v>0.45909090909090905</v>
      </c>
      <c r="J89" s="1">
        <v>0.45833333333333337</v>
      </c>
      <c r="K89" s="1">
        <v>1.802</v>
      </c>
      <c r="L89">
        <v>0.75882352941176467</v>
      </c>
      <c r="M89">
        <v>1.0687500000000001</v>
      </c>
      <c r="Z89">
        <v>1.1194267515923566</v>
      </c>
      <c r="AA89">
        <v>0.94179894179894186</v>
      </c>
      <c r="AB89">
        <v>0.38153846153846155</v>
      </c>
      <c r="AC89">
        <v>0.76615384615384619</v>
      </c>
      <c r="AD89">
        <v>0.7432432432432432</v>
      </c>
      <c r="AE89">
        <v>0.45909090909090905</v>
      </c>
      <c r="AF89">
        <v>1.4895833333333335</v>
      </c>
      <c r="AO89">
        <v>0.90100000000000002</v>
      </c>
      <c r="AP89">
        <v>0.21500000000000002</v>
      </c>
      <c r="AQ89">
        <v>0.77727272727272734</v>
      </c>
    </row>
    <row r="90" spans="4:43" x14ac:dyDescent="0.25">
      <c r="D90" s="1">
        <v>1.1958598726114649</v>
      </c>
      <c r="E90" s="1">
        <v>1.5197368421052633</v>
      </c>
      <c r="F90" s="1">
        <v>2.4140476190476188E-2</v>
      </c>
      <c r="G90" s="1">
        <v>8.1777777777777783E-2</v>
      </c>
      <c r="H90" s="1">
        <v>0.11264705882352942</v>
      </c>
      <c r="I90" s="1">
        <v>0.31545454545454543</v>
      </c>
      <c r="J90" s="1">
        <v>6.3833333333333339E-2</v>
      </c>
      <c r="K90" s="1">
        <v>0.23599999999999999</v>
      </c>
      <c r="L90">
        <v>0.52294117647058824</v>
      </c>
      <c r="M90">
        <v>3.3750000000000002E-2</v>
      </c>
      <c r="Z90">
        <v>1.1958598726114649</v>
      </c>
      <c r="AA90">
        <v>1.2222222222222223</v>
      </c>
      <c r="AB90">
        <v>7.799230769230768E-2</v>
      </c>
      <c r="AC90">
        <v>5.6615384615384616E-2</v>
      </c>
      <c r="AD90">
        <v>0.10351351351351351</v>
      </c>
      <c r="AE90">
        <v>0.31545454545454543</v>
      </c>
      <c r="AF90">
        <v>0.20745833333333336</v>
      </c>
      <c r="AO90">
        <v>0.11799999999999999</v>
      </c>
      <c r="AP90">
        <v>0.1481666666666667</v>
      </c>
      <c r="AQ90">
        <v>2.4545454545454547E-2</v>
      </c>
    </row>
    <row r="91" spans="4:43" x14ac:dyDescent="0.25">
      <c r="D91" s="1">
        <v>1.0732484076433122</v>
      </c>
      <c r="E91" s="1">
        <v>1.3026315789473686</v>
      </c>
      <c r="F91" s="1">
        <v>0.26190476190476192</v>
      </c>
      <c r="G91" s="1">
        <v>1.1444444444444446</v>
      </c>
      <c r="H91" s="1">
        <v>0.96470588235294119</v>
      </c>
      <c r="I91" s="1">
        <v>0.8136363636363636</v>
      </c>
      <c r="J91" s="1">
        <v>0.54666666666666675</v>
      </c>
      <c r="K91" s="1">
        <v>1.9419999999999999</v>
      </c>
      <c r="L91">
        <v>0.84705882352941164</v>
      </c>
      <c r="M91">
        <v>0.72124999999999995</v>
      </c>
      <c r="Z91">
        <v>1.0732484076433122</v>
      </c>
      <c r="AA91">
        <v>1.0476190476190477</v>
      </c>
      <c r="AB91">
        <v>0.84615384615384615</v>
      </c>
      <c r="AC91">
        <v>0.79230769230769238</v>
      </c>
      <c r="AD91">
        <v>0.88648648648648642</v>
      </c>
      <c r="AE91">
        <v>0.8136363636363636</v>
      </c>
      <c r="AF91">
        <v>1.7766666666666668</v>
      </c>
      <c r="AO91">
        <v>0.97099999999999997</v>
      </c>
      <c r="AP91">
        <v>0.24</v>
      </c>
      <c r="AQ91">
        <v>0.52454545454545454</v>
      </c>
    </row>
    <row r="92" spans="4:43" x14ac:dyDescent="0.25">
      <c r="D92" s="1">
        <v>1.1321656050955413</v>
      </c>
      <c r="E92" s="1">
        <v>1.4078947368421053</v>
      </c>
      <c r="F92" s="1">
        <v>0.12428571428571429</v>
      </c>
      <c r="G92" s="1">
        <v>0.61333333333333329</v>
      </c>
      <c r="H92" s="1">
        <v>0.44705882352941179</v>
      </c>
      <c r="I92" s="1">
        <v>0.86818181818181805</v>
      </c>
      <c r="J92" s="1">
        <v>0.33846153846153848</v>
      </c>
      <c r="K92" s="1">
        <v>0.89200000000000002</v>
      </c>
      <c r="L92">
        <v>0.96470588235294119</v>
      </c>
      <c r="M92">
        <v>0.39624999999999999</v>
      </c>
      <c r="Z92">
        <v>1.1321656050955413</v>
      </c>
      <c r="AA92">
        <v>1.1322751322751323</v>
      </c>
      <c r="AB92">
        <v>0.40153846153846157</v>
      </c>
      <c r="AC92">
        <v>0.42461538461538456</v>
      </c>
      <c r="AD92">
        <v>0.41081081081081078</v>
      </c>
      <c r="AE92">
        <v>0.86818181818181805</v>
      </c>
      <c r="AF92">
        <v>1.1000000000000001</v>
      </c>
      <c r="AO92">
        <v>0.44600000000000001</v>
      </c>
      <c r="AP92">
        <v>0.27333333333333337</v>
      </c>
      <c r="AQ92">
        <v>0.28818181818181815</v>
      </c>
    </row>
    <row r="93" spans="4:43" x14ac:dyDescent="0.25">
      <c r="D93" s="1">
        <v>1.1974522292993632</v>
      </c>
      <c r="E93" s="1">
        <v>1.3355263157894739</v>
      </c>
      <c r="F93" s="1">
        <v>1.1404761904761904E-2</v>
      </c>
      <c r="G93" s="1">
        <v>0.29555555555555557</v>
      </c>
      <c r="H93" s="1">
        <v>0.2461764705882353</v>
      </c>
      <c r="I93" s="1">
        <v>0.32909090909090905</v>
      </c>
      <c r="J93" s="1">
        <v>0.13950000000000001</v>
      </c>
      <c r="K93" s="1">
        <v>0.498</v>
      </c>
      <c r="L93">
        <v>0.55705882352941172</v>
      </c>
      <c r="M93">
        <v>0.11624999999999999</v>
      </c>
      <c r="Z93">
        <v>1.1974522292993632</v>
      </c>
      <c r="AA93">
        <v>1.0740740740740742</v>
      </c>
      <c r="AB93">
        <v>3.6846153846153841E-2</v>
      </c>
      <c r="AC93">
        <v>0.20461538461538462</v>
      </c>
      <c r="AD93">
        <v>0.22621621621621621</v>
      </c>
      <c r="AE93">
        <v>0.32909090909090905</v>
      </c>
      <c r="AF93">
        <v>0.45337500000000003</v>
      </c>
      <c r="AO93">
        <v>0.249</v>
      </c>
      <c r="AP93">
        <v>0.15783333333333335</v>
      </c>
      <c r="AQ93">
        <v>8.4545454545454535E-2</v>
      </c>
    </row>
    <row r="94" spans="4:43" x14ac:dyDescent="0.25">
      <c r="D94" s="1">
        <v>1.1910828025477707</v>
      </c>
      <c r="E94" s="1">
        <v>1.486842105263158</v>
      </c>
      <c r="F94" s="1">
        <v>5.0523809523809519E-2</v>
      </c>
      <c r="G94" s="1">
        <v>0.10555555555555556</v>
      </c>
      <c r="H94" s="1">
        <v>0.11970588235294118</v>
      </c>
      <c r="I94" s="1">
        <v>0.42318181818181816</v>
      </c>
      <c r="J94" s="1">
        <v>6.7833333333333343E-2</v>
      </c>
      <c r="K94" s="1">
        <v>0.23799999999999999</v>
      </c>
      <c r="L94">
        <v>0.53529411764705881</v>
      </c>
      <c r="M94">
        <v>4.2499999999999996E-2</v>
      </c>
      <c r="Z94">
        <v>1.1910828025477707</v>
      </c>
      <c r="AA94">
        <v>1.195767195767196</v>
      </c>
      <c r="AB94">
        <v>0.16323076923076923</v>
      </c>
      <c r="AC94">
        <v>7.3076923076923067E-2</v>
      </c>
      <c r="AD94">
        <v>0.10999999999999999</v>
      </c>
      <c r="AE94">
        <v>0.42318181818181816</v>
      </c>
      <c r="AF94">
        <v>0.22045833333333334</v>
      </c>
      <c r="AO94">
        <v>0.11899999999999999</v>
      </c>
      <c r="AP94">
        <v>0.15166666666666667</v>
      </c>
      <c r="AQ94">
        <v>3.0909090909090907E-2</v>
      </c>
    </row>
    <row r="96" spans="4:43" x14ac:dyDescent="0.25">
      <c r="Z96" s="1" t="s">
        <v>38</v>
      </c>
      <c r="AA96" s="1" t="s">
        <v>1</v>
      </c>
      <c r="AB96" s="1" t="s">
        <v>5</v>
      </c>
      <c r="AC96" s="1" t="s">
        <v>8</v>
      </c>
      <c r="AD96" s="1" t="s">
        <v>4</v>
      </c>
      <c r="AE96" s="1" t="s">
        <v>0</v>
      </c>
      <c r="AF96" s="1" t="s">
        <v>33</v>
      </c>
      <c r="AG96" s="1"/>
      <c r="AH96" s="1"/>
      <c r="AI96" s="1"/>
      <c r="AJ96" s="1"/>
      <c r="AK96" s="1"/>
      <c r="AL96" s="1"/>
      <c r="AM96" s="1"/>
      <c r="AN96" s="1"/>
      <c r="AO96" s="1" t="s">
        <v>6</v>
      </c>
      <c r="AP96" t="s">
        <v>3</v>
      </c>
      <c r="AQ96" t="s">
        <v>7</v>
      </c>
    </row>
    <row r="97" spans="26:43" x14ac:dyDescent="0.25">
      <c r="Z97">
        <f t="shared" ref="Z97:Z120" si="27">B3/62.8</f>
        <v>1.0716560509554141</v>
      </c>
      <c r="AA97">
        <f t="shared" ref="AA97:AA120" si="28">C3/18.9</f>
        <v>0.84656084656084662</v>
      </c>
      <c r="AB97">
        <f t="shared" ref="AB97:AB120" si="29">I3/1.3</f>
        <v>0.5461538461538461</v>
      </c>
      <c r="AC97">
        <f t="shared" ref="AC97:AC120" si="30">D3/6.5</f>
        <v>0.66</v>
      </c>
      <c r="AD97">
        <f t="shared" ref="AD97:AD120" si="31">E3/3.7</f>
        <v>0.59459459459459463</v>
      </c>
      <c r="AE97">
        <f t="shared" ref="AE97:AE120" si="32">F3/2.2</f>
        <v>0.58636363636363631</v>
      </c>
      <c r="AF97">
        <f t="shared" ref="AF97:AF120" si="33">H3/1.2</f>
        <v>1.2750000000000001</v>
      </c>
      <c r="AO97">
        <f t="shared" ref="AO97:AO120" si="34">J3/1</f>
        <v>0.433</v>
      </c>
      <c r="AP97">
        <f t="shared" ref="AP97:AP120" si="35">G3/0.6</f>
        <v>0.28500000000000003</v>
      </c>
      <c r="AQ97">
        <f t="shared" ref="AQ97:AQ120" si="36">K3/0.11</f>
        <v>3.7363636363636363</v>
      </c>
    </row>
    <row r="98" spans="26:43" x14ac:dyDescent="0.25">
      <c r="Z98">
        <f t="shared" si="27"/>
        <v>1.1178343949044587</v>
      </c>
      <c r="AA98">
        <f t="shared" si="28"/>
        <v>1.1481481481481481</v>
      </c>
      <c r="AB98">
        <f t="shared" si="29"/>
        <v>0.36769230769230765</v>
      </c>
      <c r="AC98">
        <f t="shared" si="30"/>
        <v>0.5938461538461538</v>
      </c>
      <c r="AD98">
        <f t="shared" si="31"/>
        <v>0.572972972972973</v>
      </c>
      <c r="AE98">
        <f t="shared" si="32"/>
        <v>0.47272727272727272</v>
      </c>
      <c r="AF98">
        <f t="shared" si="33"/>
        <v>1.25</v>
      </c>
      <c r="AO98">
        <f t="shared" si="34"/>
        <v>0.63300000000000001</v>
      </c>
      <c r="AP98">
        <f t="shared" si="35"/>
        <v>0.22000000000000003</v>
      </c>
      <c r="AQ98">
        <f t="shared" si="36"/>
        <v>0.39181818181818179</v>
      </c>
    </row>
    <row r="99" spans="26:43" x14ac:dyDescent="0.25">
      <c r="Z99">
        <f t="shared" si="27"/>
        <v>1.1449044585987262</v>
      </c>
      <c r="AA99">
        <f t="shared" si="28"/>
        <v>0.82539682539682546</v>
      </c>
      <c r="AB99">
        <f t="shared" si="29"/>
        <v>0.67923076923076919</v>
      </c>
      <c r="AC99">
        <f t="shared" si="30"/>
        <v>0.68307692307692314</v>
      </c>
      <c r="AD99">
        <f t="shared" si="31"/>
        <v>0.69729729729729728</v>
      </c>
      <c r="AE99">
        <f t="shared" si="32"/>
        <v>0.65454545454545443</v>
      </c>
      <c r="AF99">
        <f t="shared" si="33"/>
        <v>1.35</v>
      </c>
      <c r="AO99">
        <f t="shared" si="34"/>
        <v>0.64400000000000002</v>
      </c>
      <c r="AP99">
        <f t="shared" si="35"/>
        <v>0.26500000000000001</v>
      </c>
      <c r="AQ99">
        <f t="shared" si="36"/>
        <v>0.64454545454545453</v>
      </c>
    </row>
    <row r="100" spans="26:43" x14ac:dyDescent="0.25">
      <c r="Z100">
        <f t="shared" si="27"/>
        <v>1.1624203821656052</v>
      </c>
      <c r="AA100">
        <f t="shared" si="28"/>
        <v>1.0687830687830688</v>
      </c>
      <c r="AB100">
        <f t="shared" si="29"/>
        <v>0.23076923076923075</v>
      </c>
      <c r="AC100">
        <f t="shared" si="30"/>
        <v>0.38461538461538464</v>
      </c>
      <c r="AD100">
        <f t="shared" si="31"/>
        <v>0.34594594594594591</v>
      </c>
      <c r="AE100">
        <f t="shared" si="32"/>
        <v>0.71818181818181814</v>
      </c>
      <c r="AF100">
        <f t="shared" si="33"/>
        <v>1</v>
      </c>
      <c r="AO100">
        <f t="shared" si="34"/>
        <v>0.38400000000000001</v>
      </c>
      <c r="AP100">
        <f t="shared" si="35"/>
        <v>0.22166666666666668</v>
      </c>
      <c r="AQ100">
        <f t="shared" si="36"/>
        <v>0.21090909090909091</v>
      </c>
    </row>
    <row r="101" spans="26:43" x14ac:dyDescent="0.25">
      <c r="Z101">
        <f t="shared" si="27"/>
        <v>1.1640127388535031</v>
      </c>
      <c r="AA101">
        <f t="shared" si="28"/>
        <v>1.3121693121693123</v>
      </c>
      <c r="AB101">
        <f t="shared" si="29"/>
        <v>0.24361538461538459</v>
      </c>
      <c r="AC101">
        <f t="shared" si="30"/>
        <v>9.0307692307692297E-2</v>
      </c>
      <c r="AD101">
        <f t="shared" si="31"/>
        <v>9.0270270270270264E-2</v>
      </c>
      <c r="AE101">
        <f t="shared" si="32"/>
        <v>0.40909090909090906</v>
      </c>
      <c r="AF101">
        <f t="shared" si="33"/>
        <v>0.1</v>
      </c>
      <c r="AO101">
        <f t="shared" si="34"/>
        <v>0.115</v>
      </c>
      <c r="AP101">
        <f t="shared" si="35"/>
        <v>0.15083333333333335</v>
      </c>
      <c r="AQ101">
        <f t="shared" si="36"/>
        <v>0.04</v>
      </c>
    </row>
    <row r="102" spans="26:43" x14ac:dyDescent="0.25">
      <c r="Z102">
        <f t="shared" si="27"/>
        <v>1.1496815286624205</v>
      </c>
      <c r="AA102">
        <f t="shared" si="28"/>
        <v>1.0317460317460319</v>
      </c>
      <c r="AB102">
        <f t="shared" si="29"/>
        <v>0.39923076923076922</v>
      </c>
      <c r="AC102">
        <f t="shared" si="30"/>
        <v>0.53076923076923077</v>
      </c>
      <c r="AD102">
        <f t="shared" si="31"/>
        <v>0.52702702702702697</v>
      </c>
      <c r="AE102">
        <f t="shared" si="32"/>
        <v>0.63181818181818172</v>
      </c>
      <c r="AF102">
        <f t="shared" si="33"/>
        <v>1.0416666666666667</v>
      </c>
      <c r="AO102">
        <f t="shared" si="34"/>
        <v>0.54800000000000004</v>
      </c>
      <c r="AP102">
        <f t="shared" si="35"/>
        <v>0.30833333333333335</v>
      </c>
      <c r="AQ102">
        <f t="shared" si="36"/>
        <v>0.94545454545454544</v>
      </c>
    </row>
    <row r="103" spans="26:43" x14ac:dyDescent="0.25">
      <c r="Z103">
        <f t="shared" si="27"/>
        <v>1.1337579617834397</v>
      </c>
      <c r="AA103">
        <f t="shared" si="28"/>
        <v>1.0158730158730158</v>
      </c>
      <c r="AB103">
        <f t="shared" si="29"/>
        <v>0.79230769230769227</v>
      </c>
      <c r="AC103">
        <f t="shared" si="30"/>
        <v>0.57076923076923081</v>
      </c>
      <c r="AD103">
        <f t="shared" si="31"/>
        <v>0.64324324324324322</v>
      </c>
      <c r="AE103">
        <f t="shared" si="32"/>
        <v>0.6</v>
      </c>
      <c r="AF103">
        <f t="shared" si="33"/>
        <v>1.2083333333333333</v>
      </c>
      <c r="AO103">
        <f t="shared" si="34"/>
        <v>0.65</v>
      </c>
      <c r="AP103">
        <f t="shared" si="35"/>
        <v>0.36</v>
      </c>
      <c r="AQ103">
        <f t="shared" si="36"/>
        <v>0.57181818181818178</v>
      </c>
    </row>
    <row r="104" spans="26:43" x14ac:dyDescent="0.25">
      <c r="Z104">
        <f t="shared" si="27"/>
        <v>1.1242038216560508</v>
      </c>
      <c r="AA104">
        <f t="shared" si="28"/>
        <v>1.1746031746031746</v>
      </c>
      <c r="AB104">
        <f t="shared" si="29"/>
        <v>0.38846153846153847</v>
      </c>
      <c r="AC104">
        <f t="shared" si="30"/>
        <v>0.42307692307692307</v>
      </c>
      <c r="AD104">
        <f t="shared" si="31"/>
        <v>0.39189189189189189</v>
      </c>
      <c r="AE104">
        <f t="shared" si="32"/>
        <v>0.79545454545454541</v>
      </c>
      <c r="AF104">
        <f t="shared" si="33"/>
        <v>1</v>
      </c>
      <c r="AO104">
        <f t="shared" si="34"/>
        <v>0.41699999999999998</v>
      </c>
      <c r="AP104">
        <f t="shared" si="35"/>
        <v>0.24</v>
      </c>
      <c r="AQ104">
        <f t="shared" si="36"/>
        <v>0.20727272727272728</v>
      </c>
    </row>
    <row r="105" spans="26:43" x14ac:dyDescent="0.25">
      <c r="Z105">
        <f t="shared" si="27"/>
        <v>1.1687898089171975</v>
      </c>
      <c r="AA105">
        <f t="shared" si="28"/>
        <v>1.1693121693121695</v>
      </c>
      <c r="AB105">
        <f t="shared" si="29"/>
        <v>9.2307692307692299E-2</v>
      </c>
      <c r="AC105">
        <f t="shared" si="30"/>
        <v>0.65492307692307683</v>
      </c>
      <c r="AD105">
        <f t="shared" si="31"/>
        <v>0.17810810810810812</v>
      </c>
      <c r="AE105">
        <f t="shared" si="32"/>
        <v>0.31863636363636361</v>
      </c>
      <c r="AF105">
        <f t="shared" si="33"/>
        <v>0.45833333333333337</v>
      </c>
      <c r="AO105">
        <f t="shared" si="34"/>
        <v>7.8600000000000003E-2</v>
      </c>
      <c r="AP105">
        <f t="shared" si="35"/>
        <v>0.16183333333333336</v>
      </c>
      <c r="AQ105">
        <f t="shared" si="36"/>
        <v>0.84352272727272715</v>
      </c>
    </row>
    <row r="106" spans="26:43" x14ac:dyDescent="0.25">
      <c r="Z106">
        <f t="shared" si="27"/>
        <v>1.1560509554140126</v>
      </c>
      <c r="AA106">
        <f t="shared" si="28"/>
        <v>0.95767195767195779</v>
      </c>
      <c r="AB106">
        <f t="shared" si="29"/>
        <v>0.31999999999999995</v>
      </c>
      <c r="AC106">
        <f t="shared" si="30"/>
        <v>0.60153846153846158</v>
      </c>
      <c r="AD106">
        <f t="shared" si="31"/>
        <v>0.6</v>
      </c>
      <c r="AE106">
        <f t="shared" si="32"/>
        <v>0.47272727272727272</v>
      </c>
      <c r="AF106">
        <f t="shared" si="33"/>
        <v>1.1166666666666667</v>
      </c>
      <c r="AO106">
        <f t="shared" si="34"/>
        <v>0.67600000000000005</v>
      </c>
      <c r="AP106">
        <f t="shared" si="35"/>
        <v>0.24666666666666667</v>
      </c>
      <c r="AQ106">
        <f t="shared" si="36"/>
        <v>0.62909090909090903</v>
      </c>
    </row>
    <row r="107" spans="26:43" x14ac:dyDescent="0.25">
      <c r="Z107">
        <f t="shared" si="27"/>
        <v>1.1385350318471339</v>
      </c>
      <c r="AA107">
        <f t="shared" si="28"/>
        <v>1.2063492063492065</v>
      </c>
      <c r="AB107">
        <f t="shared" si="29"/>
        <v>0.12538461538461537</v>
      </c>
      <c r="AC107">
        <f t="shared" si="30"/>
        <v>0.46153846153846156</v>
      </c>
      <c r="AD107">
        <f t="shared" si="31"/>
        <v>0.22135135135135134</v>
      </c>
      <c r="AE107">
        <f t="shared" si="32"/>
        <v>0.6</v>
      </c>
      <c r="AF107">
        <f t="shared" si="33"/>
        <v>0.54166666666666674</v>
      </c>
      <c r="AO107">
        <f t="shared" si="34"/>
        <v>0.20799999999999999</v>
      </c>
      <c r="AP107">
        <f t="shared" si="35"/>
        <v>0.26166666666666666</v>
      </c>
      <c r="AQ107">
        <f t="shared" si="36"/>
        <v>0.08</v>
      </c>
    </row>
    <row r="108" spans="26:43" x14ac:dyDescent="0.25">
      <c r="Z108">
        <f t="shared" si="27"/>
        <v>1.1640127388535031</v>
      </c>
      <c r="AA108">
        <f t="shared" si="28"/>
        <v>1.17989417989418</v>
      </c>
      <c r="AB108">
        <f t="shared" si="29"/>
        <v>5.2692307692307698E-2</v>
      </c>
      <c r="AC108">
        <f t="shared" si="30"/>
        <v>0.29538461538461536</v>
      </c>
      <c r="AD108">
        <f t="shared" si="31"/>
        <v>0.27027027027027023</v>
      </c>
      <c r="AE108">
        <f t="shared" si="32"/>
        <v>0.48636363636363633</v>
      </c>
      <c r="AF108">
        <f t="shared" si="33"/>
        <v>0.65</v>
      </c>
      <c r="AO108">
        <f t="shared" si="34"/>
        <v>0.29899999999999999</v>
      </c>
      <c r="AP108">
        <f t="shared" si="35"/>
        <v>0.22166666666666668</v>
      </c>
      <c r="AQ108">
        <f t="shared" si="36"/>
        <v>0.26090909090909092</v>
      </c>
    </row>
    <row r="109" spans="26:43" x14ac:dyDescent="0.25">
      <c r="Z109">
        <f t="shared" si="27"/>
        <v>1.0429936305732486</v>
      </c>
      <c r="AA109">
        <f t="shared" si="28"/>
        <v>0.96825396825396837</v>
      </c>
      <c r="AB109">
        <f t="shared" si="29"/>
        <v>1.323076923076923</v>
      </c>
      <c r="AC109">
        <f t="shared" si="30"/>
        <v>0.80615384615384622</v>
      </c>
      <c r="AD109">
        <f t="shared" si="31"/>
        <v>0.65135135135135136</v>
      </c>
      <c r="AE109">
        <f t="shared" si="32"/>
        <v>0.40818181818181815</v>
      </c>
      <c r="AF109">
        <f t="shared" si="33"/>
        <v>1.375</v>
      </c>
      <c r="AO109">
        <f t="shared" si="34"/>
        <v>0.625</v>
      </c>
      <c r="AP109">
        <f t="shared" si="35"/>
        <v>0.81333333333333335</v>
      </c>
      <c r="AQ109">
        <f t="shared" si="36"/>
        <v>11.636363636363637</v>
      </c>
    </row>
    <row r="110" spans="26:43" x14ac:dyDescent="0.25">
      <c r="Z110">
        <f t="shared" si="27"/>
        <v>1.1019108280254779</v>
      </c>
      <c r="AA110">
        <f t="shared" si="28"/>
        <v>1.1375661375661377</v>
      </c>
      <c r="AB110">
        <f t="shared" si="29"/>
        <v>0.39615384615384613</v>
      </c>
      <c r="AC110">
        <f t="shared" si="30"/>
        <v>0.32</v>
      </c>
      <c r="AD110">
        <f t="shared" si="31"/>
        <v>0.87027027027027026</v>
      </c>
      <c r="AE110">
        <f t="shared" si="32"/>
        <v>0.78636363636363626</v>
      </c>
      <c r="AF110">
        <f t="shared" si="33"/>
        <v>1.6</v>
      </c>
      <c r="AO110">
        <f t="shared" si="34"/>
        <v>0.89500000000000002</v>
      </c>
      <c r="AP110">
        <f t="shared" si="35"/>
        <v>0.19666666666666666</v>
      </c>
      <c r="AQ110">
        <f t="shared" si="36"/>
        <v>0.44545454545454549</v>
      </c>
    </row>
    <row r="111" spans="26:43" x14ac:dyDescent="0.25">
      <c r="Z111">
        <f t="shared" si="27"/>
        <v>1.1305732484076434</v>
      </c>
      <c r="AA111">
        <f t="shared" si="28"/>
        <v>0.93121693121693139</v>
      </c>
      <c r="AB111">
        <f t="shared" si="29"/>
        <v>0.72</v>
      </c>
      <c r="AC111">
        <f t="shared" si="30"/>
        <v>0.74615384615384606</v>
      </c>
      <c r="AD111">
        <f t="shared" si="31"/>
        <v>0.80540540540540539</v>
      </c>
      <c r="AE111">
        <f t="shared" si="32"/>
        <v>0.44590909090909087</v>
      </c>
      <c r="AF111">
        <f t="shared" si="33"/>
        <v>1.6141666666666667</v>
      </c>
      <c r="AO111">
        <f t="shared" si="34"/>
        <v>0.81399999999999995</v>
      </c>
      <c r="AP111">
        <f t="shared" si="35"/>
        <v>0.28333333333333338</v>
      </c>
      <c r="AQ111">
        <f t="shared" si="36"/>
        <v>0.40363636363636363</v>
      </c>
    </row>
    <row r="112" spans="26:43" x14ac:dyDescent="0.25">
      <c r="Z112">
        <f t="shared" si="27"/>
        <v>1.1449044585987262</v>
      </c>
      <c r="AA112">
        <f t="shared" si="28"/>
        <v>1.216931216931217</v>
      </c>
      <c r="AB112">
        <f t="shared" si="29"/>
        <v>0.19015384615384615</v>
      </c>
      <c r="AC112">
        <f t="shared" si="30"/>
        <v>0.34307692307692306</v>
      </c>
      <c r="AD112">
        <f t="shared" si="31"/>
        <v>0.35675675675675678</v>
      </c>
      <c r="AE112">
        <f t="shared" si="32"/>
        <v>0.36454545454545456</v>
      </c>
      <c r="AF112">
        <f t="shared" si="33"/>
        <v>0.71500000000000008</v>
      </c>
      <c r="AO112">
        <f t="shared" si="34"/>
        <v>0.432</v>
      </c>
      <c r="AP112">
        <f t="shared" si="35"/>
        <v>0.13650000000000001</v>
      </c>
      <c r="AQ112">
        <f t="shared" si="36"/>
        <v>0.17545454545454547</v>
      </c>
    </row>
    <row r="113" spans="26:43" x14ac:dyDescent="0.25">
      <c r="Z113">
        <f t="shared" si="27"/>
        <v>1.1242038216560508</v>
      </c>
      <c r="AA113">
        <f t="shared" si="28"/>
        <v>1.0582010582010584</v>
      </c>
      <c r="AB113">
        <f t="shared" si="29"/>
        <v>0.55538461538461537</v>
      </c>
      <c r="AC113">
        <f t="shared" si="30"/>
        <v>0.61230769230769233</v>
      </c>
      <c r="AD113">
        <f t="shared" si="31"/>
        <v>0.74054054054054053</v>
      </c>
      <c r="AE113">
        <f t="shared" si="32"/>
        <v>0.35136363636363632</v>
      </c>
      <c r="AF113">
        <f t="shared" si="33"/>
        <v>1.4841666666666669</v>
      </c>
      <c r="AO113">
        <f t="shared" si="34"/>
        <v>0.79400000000000004</v>
      </c>
      <c r="AP113">
        <f t="shared" si="35"/>
        <v>0.26500000000000001</v>
      </c>
      <c r="AQ113">
        <f t="shared" si="36"/>
        <v>0.36727272727272725</v>
      </c>
    </row>
    <row r="114" spans="26:43" x14ac:dyDescent="0.25">
      <c r="Z114">
        <f t="shared" si="27"/>
        <v>1.0780254777070064</v>
      </c>
      <c r="AA114">
        <f t="shared" si="28"/>
        <v>1.0370370370370372</v>
      </c>
      <c r="AB114">
        <f t="shared" si="29"/>
        <v>0.90769230769230758</v>
      </c>
      <c r="AC114">
        <f t="shared" si="30"/>
        <v>0.92461538461538462</v>
      </c>
      <c r="AD114">
        <f t="shared" si="31"/>
        <v>0.68648648648648647</v>
      </c>
      <c r="AE114">
        <f t="shared" si="32"/>
        <v>0.73636363636363633</v>
      </c>
      <c r="AF114">
        <f t="shared" si="33"/>
        <v>1.3758333333333335</v>
      </c>
      <c r="AO114">
        <f t="shared" si="34"/>
        <v>0.79900000000000004</v>
      </c>
      <c r="AP114">
        <f t="shared" si="35"/>
        <v>0.4366666666666667</v>
      </c>
      <c r="AQ114">
        <f t="shared" si="36"/>
        <v>0.66909090909090907</v>
      </c>
    </row>
    <row r="115" spans="26:43" x14ac:dyDescent="0.25">
      <c r="Z115">
        <f t="shared" si="27"/>
        <v>1.1194267515923566</v>
      </c>
      <c r="AA115">
        <f t="shared" si="28"/>
        <v>0.94179894179894186</v>
      </c>
      <c r="AB115">
        <f t="shared" si="29"/>
        <v>0.38153846153846155</v>
      </c>
      <c r="AC115">
        <f t="shared" si="30"/>
        <v>0.76615384615384619</v>
      </c>
      <c r="AD115">
        <f t="shared" si="31"/>
        <v>0.7432432432432432</v>
      </c>
      <c r="AE115">
        <f t="shared" si="32"/>
        <v>0.45909090909090905</v>
      </c>
      <c r="AF115">
        <f t="shared" si="33"/>
        <v>1.4895833333333335</v>
      </c>
      <c r="AO115">
        <f t="shared" si="34"/>
        <v>0.90100000000000002</v>
      </c>
      <c r="AP115">
        <f t="shared" si="35"/>
        <v>0.21500000000000002</v>
      </c>
      <c r="AQ115">
        <f t="shared" si="36"/>
        <v>0.77727272727272734</v>
      </c>
    </row>
    <row r="116" spans="26:43" x14ac:dyDescent="0.25">
      <c r="Z116">
        <f t="shared" si="27"/>
        <v>1.1958598726114649</v>
      </c>
      <c r="AA116">
        <f t="shared" si="28"/>
        <v>1.2222222222222223</v>
      </c>
      <c r="AB116">
        <f t="shared" si="29"/>
        <v>7.799230769230768E-2</v>
      </c>
      <c r="AC116">
        <f t="shared" si="30"/>
        <v>5.6615384615384616E-2</v>
      </c>
      <c r="AD116">
        <f t="shared" si="31"/>
        <v>0.10351351351351351</v>
      </c>
      <c r="AE116">
        <f t="shared" si="32"/>
        <v>0.31545454545454543</v>
      </c>
      <c r="AF116">
        <f t="shared" si="33"/>
        <v>0.20745833333333336</v>
      </c>
      <c r="AO116">
        <f t="shared" si="34"/>
        <v>0.11799999999999999</v>
      </c>
      <c r="AP116">
        <f t="shared" si="35"/>
        <v>0.1481666666666667</v>
      </c>
      <c r="AQ116">
        <f t="shared" si="36"/>
        <v>2.4545454545454547E-2</v>
      </c>
    </row>
    <row r="117" spans="26:43" x14ac:dyDescent="0.25">
      <c r="Z117">
        <f t="shared" si="27"/>
        <v>1.0732484076433122</v>
      </c>
      <c r="AA117">
        <f t="shared" si="28"/>
        <v>1.0476190476190477</v>
      </c>
      <c r="AB117">
        <f t="shared" si="29"/>
        <v>0.84615384615384615</v>
      </c>
      <c r="AC117">
        <f t="shared" si="30"/>
        <v>0.79230769230769238</v>
      </c>
      <c r="AD117">
        <f t="shared" si="31"/>
        <v>0.88648648648648642</v>
      </c>
      <c r="AE117">
        <f t="shared" si="32"/>
        <v>0.8136363636363636</v>
      </c>
      <c r="AF117">
        <f t="shared" si="33"/>
        <v>1.7766666666666668</v>
      </c>
      <c r="AO117">
        <f t="shared" si="34"/>
        <v>0.97099999999999997</v>
      </c>
      <c r="AP117">
        <f t="shared" si="35"/>
        <v>0.24</v>
      </c>
      <c r="AQ117">
        <f t="shared" si="36"/>
        <v>0.52454545454545454</v>
      </c>
    </row>
    <row r="118" spans="26:43" x14ac:dyDescent="0.25">
      <c r="Z118">
        <f t="shared" si="27"/>
        <v>1.1321656050955413</v>
      </c>
      <c r="AA118">
        <f t="shared" si="28"/>
        <v>1.1322751322751323</v>
      </c>
      <c r="AB118">
        <f t="shared" si="29"/>
        <v>0.40153846153846157</v>
      </c>
      <c r="AC118">
        <f t="shared" si="30"/>
        <v>0.42461538461538456</v>
      </c>
      <c r="AD118">
        <f t="shared" si="31"/>
        <v>0.41081081081081078</v>
      </c>
      <c r="AE118">
        <f t="shared" si="32"/>
        <v>0.86818181818181805</v>
      </c>
      <c r="AF118">
        <f t="shared" si="33"/>
        <v>1.1000000000000001</v>
      </c>
      <c r="AO118">
        <f t="shared" si="34"/>
        <v>0.44600000000000001</v>
      </c>
      <c r="AP118">
        <f t="shared" si="35"/>
        <v>0.27333333333333337</v>
      </c>
      <c r="AQ118">
        <f t="shared" si="36"/>
        <v>0.28818181818181815</v>
      </c>
    </row>
    <row r="119" spans="26:43" x14ac:dyDescent="0.25">
      <c r="Z119">
        <f t="shared" si="27"/>
        <v>1.1974522292993632</v>
      </c>
      <c r="AA119">
        <f t="shared" si="28"/>
        <v>1.0740740740740742</v>
      </c>
      <c r="AB119">
        <f t="shared" si="29"/>
        <v>3.6846153846153841E-2</v>
      </c>
      <c r="AC119">
        <f t="shared" si="30"/>
        <v>0.20461538461538462</v>
      </c>
      <c r="AD119">
        <f t="shared" si="31"/>
        <v>0.22621621621621621</v>
      </c>
      <c r="AE119">
        <f t="shared" si="32"/>
        <v>0.32909090909090905</v>
      </c>
      <c r="AF119">
        <f t="shared" si="33"/>
        <v>0.45337500000000003</v>
      </c>
      <c r="AO119">
        <f t="shared" si="34"/>
        <v>0.249</v>
      </c>
      <c r="AP119">
        <f t="shared" si="35"/>
        <v>0.15783333333333335</v>
      </c>
      <c r="AQ119">
        <f t="shared" si="36"/>
        <v>8.4545454545454535E-2</v>
      </c>
    </row>
    <row r="120" spans="26:43" x14ac:dyDescent="0.25">
      <c r="Z120">
        <f t="shared" si="27"/>
        <v>1.1910828025477707</v>
      </c>
      <c r="AA120">
        <f t="shared" si="28"/>
        <v>1.195767195767196</v>
      </c>
      <c r="AB120">
        <f t="shared" si="29"/>
        <v>0.16323076923076923</v>
      </c>
      <c r="AC120">
        <f t="shared" si="30"/>
        <v>7.3076923076923067E-2</v>
      </c>
      <c r="AD120">
        <f t="shared" si="31"/>
        <v>0.10999999999999999</v>
      </c>
      <c r="AE120">
        <f t="shared" si="32"/>
        <v>0.42318181818181816</v>
      </c>
      <c r="AF120">
        <f t="shared" si="33"/>
        <v>0.22045833333333334</v>
      </c>
      <c r="AO120">
        <f t="shared" si="34"/>
        <v>0.11899999999999999</v>
      </c>
      <c r="AP120">
        <f t="shared" si="35"/>
        <v>0.15166666666666667</v>
      </c>
      <c r="AQ120">
        <f t="shared" si="36"/>
        <v>3.0909090909090907E-2</v>
      </c>
    </row>
  </sheetData>
  <mergeCells count="2">
    <mergeCell ref="B1:K1"/>
    <mergeCell ref="A1:A2"/>
  </mergeCells>
  <pageMargins left="0.42" right="0.35" top="1" bottom="0.81" header="0.5" footer="0.5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XRF Cox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GMN5</cp:lastModifiedBy>
  <cp:lastPrinted>2023-01-16T05:08:46Z</cp:lastPrinted>
  <dcterms:created xsi:type="dcterms:W3CDTF">2023-01-06T10:57:04Z</dcterms:created>
  <dcterms:modified xsi:type="dcterms:W3CDTF">2023-06-08T08:55:54Z</dcterms:modified>
</cp:coreProperties>
</file>